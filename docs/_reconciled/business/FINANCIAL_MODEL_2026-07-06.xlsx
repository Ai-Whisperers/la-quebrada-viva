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Staff" sheetId="5" state="visible" r:id="rId5"/>
    <sheet xmlns:r="http://schemas.openxmlformats.org/officeDocument/2006/relationships" name="OperatingCosts" sheetId="6" state="visible" r:id="rId6"/>
    <sheet xmlns:r="http://schemas.openxmlformats.org/officeDocument/2006/relationships" name="PnL_5year" sheetId="7" state="visible" r:id="rId7"/>
    <sheet xmlns:r="http://schemas.openxmlformats.org/officeDocument/2006/relationships" name="TaxProjection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9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9CC2E5"/>
      </patternFill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1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164" fontId="4" fillId="5" borderId="0" pivotButton="0" quotePrefix="0" xfId="0"/>
    <xf numFmtId="164" fontId="4" fillId="3" borderId="0" pivotButton="0" quotePrefix="0" xfId="0"/>
    <xf numFmtId="164" fontId="4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165" fontId="4" fillId="0" borderId="0" pivotButton="0" quotePrefix="0" xfId="0"/>
    <xf numFmtId="9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RIVERSTONE VALLEY (LQV) — FINANCIAL MODEL</t>
        </is>
      </c>
    </row>
    <row r="2">
      <c r="A2" s="2" t="inlineStr">
        <is>
          <t>Phase 1: 5 cabins | Phase 2: 10 total | Phase 3: 30 total | Horizon: 2030 (Sonja's 60th)</t>
        </is>
      </c>
    </row>
    <row r="3">
      <c r="A3" s="2" t="inlineStr">
        <is>
          <t>Generated 2026-07-06 by Erebus | Source: FINANCIAL_MODEL.md (Wes data 2026-06-30) + 4 working research docs</t>
        </is>
      </c>
    </row>
    <row r="4">
      <c r="A4" s="2" t="inlineStr">
        <is>
          <t>Currency: EUR canonical | FX: 1 EUR = 1.07 USD = 8,025 PYG (BCP 2026-07-06 referencial)</t>
        </is>
      </c>
    </row>
    <row r="6">
      <c r="A6" s="3" t="inlineStr">
        <is>
          <t>SCENARIO TOGGLE</t>
        </is>
      </c>
    </row>
    <row r="7">
      <c r="A7" t="inlineStr">
        <is>
          <t>Selected scenario:</t>
        </is>
      </c>
      <c r="B7" s="4" t="inlineStr">
        <is>
          <t>GOOD (35% occupancy)</t>
        </is>
      </c>
    </row>
    <row r="8">
      <c r="A8" s="2" t="inlineStr">
        <is>
          <t>Dashboard shows GOOD. For NEGATIVE (20%) or AVERAGE (25%), see Revenue + Sensitivity sheets.</t>
        </is>
      </c>
    </row>
    <row r="10">
      <c r="A10" s="3" t="inlineStr">
        <is>
          <t>KEY 5-YEAR METRICS (GOOD SCENARIO)</t>
        </is>
      </c>
    </row>
    <row r="12">
      <c r="A12" s="5" t="inlineStr">
        <is>
          <t>Metric</t>
        </is>
      </c>
      <c r="B12" s="5" t="inlineStr">
        <is>
          <t>Year 1</t>
        </is>
      </c>
      <c r="C12" s="5" t="inlineStr">
        <is>
          <t>Year 2</t>
        </is>
      </c>
      <c r="D12" s="5" t="inlineStr">
        <is>
          <t>Year 3</t>
        </is>
      </c>
      <c r="E12" s="5" t="inlineStr">
        <is>
          <t>Year 4</t>
        </is>
      </c>
      <c r="F12" s="5" t="inlineStr">
        <is>
          <t>Year 5</t>
        </is>
      </c>
    </row>
    <row r="13">
      <c r="A13" t="inlineStr">
        <is>
          <t>Cabins available</t>
        </is>
      </c>
      <c r="B13" s="6" t="n">
        <v>5</v>
      </c>
      <c r="C13" s="6" t="n">
        <v>10</v>
      </c>
      <c r="D13" s="6" t="n">
        <v>30</v>
      </c>
      <c r="E13" s="6" t="n">
        <v>30</v>
      </c>
      <c r="F13" s="6" t="n">
        <v>30</v>
      </c>
    </row>
    <row r="14">
      <c r="A14" t="inlineStr">
        <is>
          <t>ADR (EUR/night)</t>
        </is>
      </c>
      <c r="B14" s="7" t="n">
        <v>220</v>
      </c>
      <c r="C14" s="7" t="n">
        <v>240</v>
      </c>
      <c r="D14" s="7" t="n">
        <v>260</v>
      </c>
      <c r="E14" s="7" t="n">
        <v>280</v>
      </c>
      <c r="F14" s="7" t="n">
        <v>300</v>
      </c>
    </row>
    <row r="15">
      <c r="A15" t="inlineStr">
        <is>
          <t>Occupancy %</t>
        </is>
      </c>
      <c r="B15" s="8" t="n">
        <v>0.25</v>
      </c>
      <c r="C15" s="8" t="n">
        <v>0.3</v>
      </c>
      <c r="D15" s="8" t="n">
        <v>0.35</v>
      </c>
      <c r="E15" s="8" t="n">
        <v>0.4</v>
      </c>
      <c r="F15" s="8" t="n">
        <v>0.4</v>
      </c>
    </row>
    <row r="16">
      <c r="A16" t="inlineStr">
        <is>
          <t>Cabin revenue (EUR)</t>
        </is>
      </c>
      <c r="B16" s="7" t="n">
        <v>100375</v>
      </c>
      <c r="C16" s="7" t="n">
        <v>262800</v>
      </c>
      <c r="D16" s="7" t="n">
        <v>996449.9999999999</v>
      </c>
      <c r="E16" s="7" t="n">
        <v>1226400</v>
      </c>
      <c r="F16" s="7" t="n">
        <v>1314000</v>
      </c>
    </row>
    <row r="17">
      <c r="A17" t="inlineStr">
        <is>
          <t>F&amp;B revenue (35% of cabin)</t>
        </is>
      </c>
      <c r="B17" s="7">
        <f>B16*0.35</f>
        <v/>
      </c>
      <c r="C17" s="7">
        <f>C16*0.35</f>
        <v/>
      </c>
      <c r="D17" s="7">
        <f>D16*0.35</f>
        <v/>
      </c>
      <c r="E17" s="7">
        <f>E16*0.35</f>
        <v/>
      </c>
      <c r="F17" s="7">
        <f>F16*0.35</f>
        <v/>
      </c>
    </row>
    <row r="18">
      <c r="A18" t="inlineStr">
        <is>
          <t>Other revenue (events/wellness, 10%)</t>
        </is>
      </c>
      <c r="B18" s="7">
        <f>B16*0.10</f>
        <v/>
      </c>
      <c r="C18" s="7">
        <f>C16*0.10</f>
        <v/>
      </c>
      <c r="D18" s="7">
        <f>D16*0.10</f>
        <v/>
      </c>
      <c r="E18" s="7">
        <f>E16*0.10</f>
        <v/>
      </c>
      <c r="F18" s="7">
        <f>F16*0.10</f>
        <v/>
      </c>
    </row>
    <row r="19">
      <c r="A19" s="9" t="inlineStr">
        <is>
          <t>TOTAL REVENUE</t>
        </is>
      </c>
      <c r="B19" s="10">
        <f>SUM(B16:B18)</f>
        <v/>
      </c>
      <c r="C19" s="10">
        <f>SUM(C16:C18)</f>
        <v/>
      </c>
      <c r="D19" s="10">
        <f>SUM(D16:D18)</f>
        <v/>
      </c>
      <c r="E19" s="10">
        <f>SUM(E16:E18)</f>
        <v/>
      </c>
      <c r="F19" s="10">
        <f>SUM(F16:F18)</f>
        <v/>
      </c>
    </row>
    <row r="21">
      <c r="A21" s="9" t="inlineStr">
        <is>
          <t>COSTS (PY social costs included)</t>
        </is>
      </c>
    </row>
    <row r="22">
      <c r="A22" t="inlineStr">
        <is>
          <t>Staff (incl. 16.5% IPS + aguinaldo + vacaciones, 30% overhead)</t>
        </is>
      </c>
      <c r="B22" s="7" t="n">
        <v>70200</v>
      </c>
      <c r="C22" s="7" t="n">
        <v>105300</v>
      </c>
      <c r="D22" s="7" t="n">
        <v>315900</v>
      </c>
      <c r="E22" s="7" t="n">
        <v>315900</v>
      </c>
      <c r="F22" s="7" t="n">
        <v>315900</v>
      </c>
    </row>
    <row r="23">
      <c r="A23" t="inlineStr">
        <is>
          <t>Variable operating (F&amp;B COGS 38% + OTA 5%)</t>
        </is>
      </c>
      <c r="B23" s="7">
        <f>B17*0.38 + B16*0.05</f>
        <v/>
      </c>
      <c r="C23" s="7">
        <f>C17*0.38 + C16*0.05</f>
        <v/>
      </c>
      <c r="D23" s="7">
        <f>D17*0.38 + D16*0.05</f>
        <v/>
      </c>
      <c r="E23" s="7">
        <f>E17*0.38 + E16*0.05</f>
        <v/>
      </c>
      <c r="F23" s="7">
        <f>F17*0.38 + F16*0.05</f>
        <v/>
      </c>
    </row>
    <row r="24">
      <c r="A24" t="inlineStr">
        <is>
          <t>Fixed operating (utilities, maintenance, marketing, insurance, 18% of revenue)</t>
        </is>
      </c>
      <c r="B24" s="7">
        <f>B19*0.18</f>
        <v/>
      </c>
      <c r="C24" s="7">
        <f>C19*0.18</f>
        <v/>
      </c>
      <c r="D24" s="7">
        <f>D19*0.18</f>
        <v/>
      </c>
      <c r="E24" s="7">
        <f>E19*0.18</f>
        <v/>
      </c>
      <c r="F24" s="7">
        <f>F19*0.18</f>
        <v/>
      </c>
    </row>
    <row r="25">
      <c r="A25" s="9" t="inlineStr">
        <is>
          <t>TOTAL COSTS</t>
        </is>
      </c>
      <c r="B25" s="10">
        <f>SUM(B22:B24)</f>
        <v/>
      </c>
      <c r="C25" s="10">
        <f>SUM(C22:C24)</f>
        <v/>
      </c>
      <c r="D25" s="10">
        <f>SUM(D22:D24)</f>
        <v/>
      </c>
      <c r="E25" s="10">
        <f>SUM(E22:E24)</f>
        <v/>
      </c>
      <c r="F25" s="10">
        <f>SUM(F22:F24)</f>
        <v/>
      </c>
    </row>
    <row r="27">
      <c r="A27" s="9" t="inlineStr">
        <is>
          <t>OPERATING PROFIT (EBIT)</t>
        </is>
      </c>
      <c r="B27" s="11">
        <f>B19-B25</f>
        <v/>
      </c>
      <c r="C27" s="11">
        <f>C19-C25</f>
        <v/>
      </c>
      <c r="D27" s="11">
        <f>D19-D25</f>
        <v/>
      </c>
      <c r="E27" s="11">
        <f>E19-E25</f>
        <v/>
      </c>
      <c r="F27" s="11">
        <f>F19-F25</f>
        <v/>
      </c>
    </row>
    <row r="28">
      <c r="A28" t="inlineStr">
        <is>
          <t>D&amp;A on capex (straight-line 20yr)</t>
        </is>
      </c>
      <c r="B28" s="7" t="n">
        <v>275000</v>
      </c>
      <c r="C28" s="7" t="n">
        <v>540000</v>
      </c>
      <c r="D28" s="7" t="n">
        <v>835000</v>
      </c>
      <c r="E28" s="7" t="n">
        <v>835000</v>
      </c>
      <c r="F28" s="7" t="n">
        <v>835000</v>
      </c>
    </row>
    <row r="29">
      <c r="A29" t="inlineStr">
        <is>
          <t>EBT (Earnings Before Tax)</t>
        </is>
      </c>
      <c r="B29" s="12">
        <f>B27-B28</f>
        <v/>
      </c>
      <c r="C29" s="12">
        <f>C27-C28</f>
        <v/>
      </c>
      <c r="D29" s="12">
        <f>D27-D28</f>
        <v/>
      </c>
      <c r="E29" s="12">
        <f>E27-E28</f>
        <v/>
      </c>
      <c r="F29" s="12">
        <f>F27-F28</f>
        <v/>
      </c>
    </row>
    <row r="31">
      <c r="A31" s="2" t="inlineStr">
        <is>
          <t>TAXES (PY IRE 10% + NL Box 2 24.5% on dividends; see TaxProjection sheet for full 5-year side-by-side)</t>
        </is>
      </c>
    </row>
    <row r="32">
      <c r="A32" s="2" t="inlineStr">
        <is>
          <t>For cash flow + the 4-BV vs IB vs 5-BV comparison, see sheets 7-8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</cols>
  <sheetData>
    <row r="1">
      <c r="A1" s="13" t="inlineStr">
        <is>
          <t>ASSUMPTIONS — all rates editable here, all sheets reference these</t>
        </is>
      </c>
    </row>
    <row r="3">
      <c r="A3" s="3" t="inlineStr">
        <is>
          <t>FX RATES (BCP 2026-07-06 referencial)</t>
        </is>
      </c>
    </row>
    <row r="4">
      <c r="A4" t="inlineStr">
        <is>
          <t>EUR/USD</t>
        </is>
      </c>
      <c r="B4" s="14" t="n">
        <v>1.07</v>
      </c>
    </row>
    <row r="5">
      <c r="A5" t="inlineStr">
        <is>
          <t>USD/PYG</t>
        </is>
      </c>
      <c r="B5" s="15" t="n">
        <v>7500</v>
      </c>
    </row>
    <row r="6">
      <c r="A6" t="inlineStr">
        <is>
          <t>EUR/PYG (derived)</t>
        </is>
      </c>
      <c r="B6" s="15">
        <f>B4*B5</f>
        <v/>
      </c>
    </row>
    <row r="8">
      <c r="A8" s="3" t="inlineStr">
        <is>
          <t>INFLATION (annual)</t>
        </is>
      </c>
    </row>
    <row r="9">
      <c r="A9" t="inlineStr">
        <is>
          <t>EUR inflation (EU target ~2%)</t>
        </is>
      </c>
      <c r="B9" s="16" t="n">
        <v>0.02</v>
      </c>
    </row>
    <row r="10">
      <c r="A10" t="inlineStr">
        <is>
          <t>USD inflation (US ~2.5%)</t>
        </is>
      </c>
      <c r="B10" s="16" t="n">
        <v>0.025</v>
      </c>
    </row>
    <row r="11">
      <c r="A11" t="inlineStr">
        <is>
          <t>PYG inflation (PY ~4% historical)</t>
        </is>
      </c>
      <c r="B11" s="16" t="n">
        <v>0.04</v>
      </c>
    </row>
    <row r="12">
      <c r="A12" t="inlineStr">
        <is>
          <t>PY peso devaluation (PY 4-6% historical)</t>
        </is>
      </c>
      <c r="B12" s="16" t="n">
        <v>0.05</v>
      </c>
    </row>
    <row r="14">
      <c r="A14" s="3" t="inlineStr">
        <is>
          <t>TAX RATES (per LEGAL_RESEARCH_PACK_2026-07-06.md)</t>
        </is>
      </c>
    </row>
    <row r="15">
      <c r="A15" t="inlineStr">
        <is>
          <t>PY IRE (Impuesto a la Renta Empresarial)</t>
        </is>
      </c>
      <c r="B15" s="16" t="n">
        <v>0.1</v>
      </c>
    </row>
    <row r="16">
      <c r="A16" t="inlineStr">
        <is>
          <t>PY IRP top bracket</t>
        </is>
      </c>
      <c r="B16" s="16" t="n">
        <v>0.1</v>
      </c>
    </row>
    <row r="17">
      <c r="A17" t="inlineStr">
        <is>
          <t>PY IVA standard</t>
        </is>
      </c>
      <c r="B17" s="16" t="n">
        <v>0.1</v>
      </c>
    </row>
    <row r="18">
      <c r="A18" t="inlineStr">
        <is>
          <t>PY IVA lodging</t>
        </is>
      </c>
      <c r="B18" s="16" t="n">
        <v>0.05</v>
      </c>
    </row>
    <row r="19">
      <c r="A19" t="inlineStr">
        <is>
          <t>PY tourism promotion</t>
        </is>
      </c>
      <c r="B19" s="16" t="n">
        <v>0.01</v>
      </c>
    </row>
    <row r="20">
      <c r="A20" t="inlineStr">
        <is>
          <t>PY IPS employer aporte</t>
        </is>
      </c>
      <c r="B20" s="16" t="n">
        <v>0.165</v>
      </c>
    </row>
    <row r="21">
      <c r="A21" t="inlineStr">
        <is>
          <t>PY aguinaldo (1/12 of annual)</t>
        </is>
      </c>
      <c r="B21" s="16" t="n">
        <v>0.0833</v>
      </c>
    </row>
    <row r="22">
      <c r="A22" t="inlineStr">
        <is>
          <t>PY vacaciones overhead (~12 d/yr)</t>
        </is>
      </c>
      <c r="B22" s="16" t="n">
        <v>0.05</v>
      </c>
    </row>
    <row r="23">
      <c r="A23" t="inlineStr">
        <is>
          <t>NL IB Box 2 (substantial interest, dividends)</t>
        </is>
      </c>
      <c r="B23" s="16" t="n">
        <v>0.245</v>
      </c>
    </row>
    <row r="24">
      <c r="A24" t="inlineStr">
        <is>
          <t>NL IB Box 2 high bracket</t>
        </is>
      </c>
      <c r="B24" s="16" t="n">
        <v>0.33</v>
      </c>
    </row>
    <row r="25">
      <c r="A25" t="inlineStr">
        <is>
          <t>NL dividend WHT to PY (treaty)</t>
        </is>
      </c>
      <c r="B25" s="16" t="n">
        <v>0.1</v>
      </c>
    </row>
    <row r="26">
      <c r="A26" t="inlineStr">
        <is>
          <t>NL BV &gt; IB threshold</t>
        </is>
      </c>
      <c r="B26" s="7" t="n">
        <v>70000</v>
      </c>
    </row>
    <row r="27">
      <c r="A27" t="inlineStr">
        <is>
          <t>Effective double-tax rate (BV+Box2+IRE)</t>
        </is>
      </c>
      <c r="B27" s="16" t="n">
        <v>0.324</v>
      </c>
    </row>
    <row r="29">
      <c r="A29" s="3" t="inlineStr">
        <is>
          <t>SCENARIO PARAMETERS (3 scenarios per Wes FINANCIAL_MODEL.md)</t>
        </is>
      </c>
    </row>
    <row r="30">
      <c r="A30" s="5" t="inlineStr">
        <is>
          <t>Scenario</t>
        </is>
      </c>
      <c r="B30" s="5" t="inlineStr">
        <is>
          <t>Occupancy</t>
        </is>
      </c>
      <c r="C30" s="5" t="inlineStr">
        <is>
          <t>Notes</t>
        </is>
      </c>
    </row>
    <row r="31">
      <c r="A31" t="inlineStr">
        <is>
          <t>NEGATIVE</t>
        </is>
      </c>
      <c r="B31" s="8" t="n">
        <v>0.2</v>
      </c>
      <c r="C31" t="inlineStr">
        <is>
          <t>20% occupancy, soft launch</t>
        </is>
      </c>
    </row>
    <row r="32">
      <c r="A32" t="inlineStr">
        <is>
          <t>AVERAGE</t>
        </is>
      </c>
      <c r="B32" s="8" t="n">
        <v>0.25</v>
      </c>
      <c r="C32" t="inlineStr">
        <is>
          <t>25% occupancy, slow ramp</t>
        </is>
      </c>
    </row>
    <row r="33">
      <c r="A33" t="inlineStr">
        <is>
          <t>GOOD</t>
        </is>
      </c>
      <c r="B33" s="8" t="n">
        <v>0.35</v>
      </c>
      <c r="C33" t="inlineStr">
        <is>
          <t>35% occupancy, established market</t>
        </is>
      </c>
    </row>
    <row r="34">
      <c r="A34" t="inlineStr">
        <is>
          <t>VERY GOOD</t>
        </is>
      </c>
      <c r="B34" s="8" t="n">
        <v>0.45</v>
      </c>
      <c r="C34" t="inlineStr">
        <is>
          <t>added for sensitivity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</cols>
  <sheetData>
    <row r="1">
      <c r="A1" s="13" t="inlineStr">
        <is>
          <t>CAPEX SUMMARY — Phase 1 (5-cabin baseline) + Phase 2-3 (10 → 30 cabins)</t>
        </is>
      </c>
    </row>
    <row r="2">
      <c r="A2" s="2" t="inlineStr">
        <is>
          <t>Source: CAPEX_OPTIONS_2026-07-06.md (4-doc research pack) + FINANCIAL_MODEL.md</t>
        </is>
      </c>
    </row>
    <row r="4">
      <c r="A4" s="3" t="inlineStr">
        <is>
          <t>PHASE 1 CAPEX (5 cabins + restaurant + pool)</t>
        </is>
      </c>
    </row>
    <row r="5">
      <c r="A5" s="5" t="inlineStr">
        <is>
          <t>Block</t>
        </is>
      </c>
      <c r="B5" s="5" t="inlineStr">
        <is>
          <t>EUR</t>
        </is>
      </c>
      <c r="C5" s="5" t="inlineStr">
        <is>
          <t>Source/Note</t>
        </is>
      </c>
    </row>
    <row r="6">
      <c r="A6" t="inlineStr">
        <is>
          <t>Land (62 ha, already owned)</t>
        </is>
      </c>
      <c r="B6" s="7" t="n">
        <v>0</v>
      </c>
      <c r="C6" t="inlineStr">
        <is>
          <t>excluded per FINANCIAL_MODEL.md</t>
        </is>
      </c>
    </row>
    <row r="7">
      <c r="A7" t="inlineStr">
        <is>
          <t>Construction (5 cob cabins @ €54K)</t>
        </is>
      </c>
      <c r="B7" s="7" t="n">
        <v>270000</v>
      </c>
      <c r="C7" t="inlineStr">
        <is>
          <t>CAPEX_OPTIONS §B.1 Option A: cob + foundation + roof</t>
        </is>
      </c>
    </row>
    <row r="8">
      <c r="A8" t="inlineStr">
        <is>
          <t>Restaurant + kitchen building (shell + equipment)</t>
        </is>
      </c>
      <c r="B8" s="7" t="n">
        <v>468000</v>
      </c>
      <c r="C8" t="inlineStr">
        <is>
          <t>CAPEX_OPTIONS §B.7 €68K equipment + €400K shell</t>
        </is>
      </c>
    </row>
    <row r="9">
      <c r="A9" t="inlineStr">
        <is>
          <t>Wellness pool (Phase 1 plunge only)</t>
        </is>
      </c>
      <c r="B9" s="7" t="n">
        <v>35000</v>
      </c>
      <c r="C9" t="inlineStr">
        <is>
          <t>CAPEX_OPTIONS §A.1 baseline; full wellness deferred to Phase 2</t>
        </is>
      </c>
    </row>
    <row r="10">
      <c r="A10" t="inlineStr">
        <is>
          <t>Roads + parking + fencing + signage</t>
        </is>
      </c>
      <c r="B10" s="7" t="n">
        <v>400000</v>
      </c>
      <c r="C10" t="inlineStr">
        <is>
          <t>FINANCIAL_MODEL.md + CAPEX_OPTIONS §E hidden capex</t>
        </is>
      </c>
    </row>
    <row r="11">
      <c r="A11" t="inlineStr">
        <is>
          <t>Utilities (solar 8kW/cabin + quebrada+well + septic 5 systems)</t>
        </is>
      </c>
      <c r="B11" s="7" t="n">
        <v>129300</v>
      </c>
      <c r="C11" t="inlineStr">
        <is>
          <t>CAPEX_OPTIONS §B.4-B.6 corrected</t>
        </is>
      </c>
    </row>
    <row r="12">
      <c r="A12" t="inlineStr">
        <is>
          <t>ANDE 3-phase grid connection + transformer</t>
        </is>
      </c>
      <c r="B12" s="7" t="n">
        <v>12000</v>
      </c>
      <c r="C12" t="inlineStr">
        <is>
          <t>CAPEX_OPTIONS §E.2</t>
        </is>
      </c>
    </row>
    <row r="13">
      <c r="A13" t="inlineStr">
        <is>
          <t>Water + septic INAA permit</t>
        </is>
      </c>
      <c r="B13" s="7" t="n">
        <v>1800</v>
      </c>
      <c r="C13" t="inlineStr">
        <is>
          <t>F14, F15</t>
        </is>
      </c>
    </row>
    <row r="14">
      <c r="A14" t="inlineStr">
        <is>
          <t>Municipality commercial + SENATUR + health permits</t>
        </is>
      </c>
      <c r="B14" s="7" t="n">
        <v>13000</v>
      </c>
      <c r="C14" t="inlineStr">
        <is>
          <t>CAPEX_OPTIONS §E.1-E.4</t>
        </is>
      </c>
    </row>
    <row r="15">
      <c r="A15" t="inlineStr">
        <is>
          <t>MADES environmental impact study</t>
        </is>
      </c>
      <c r="B15" s="7" t="n">
        <v>4500</v>
      </c>
      <c r="C15" t="inlineStr">
        <is>
          <t>if &gt;3 ha cleared</t>
        </is>
      </c>
    </row>
    <row r="16">
      <c r="A16" t="inlineStr">
        <is>
          <t>F05 road upgrade (1.5 km gravel)</t>
        </is>
      </c>
      <c r="B16" s="7" t="n">
        <v>18000</v>
      </c>
      <c r="C16" t="inlineStr">
        <is>
          <t>F05 road conditions</t>
        </is>
      </c>
    </row>
    <row r="17">
      <c r="A17" t="inlineStr">
        <is>
          <t>Insurance first-year premium</t>
        </is>
      </c>
      <c r="B17" s="7" t="n">
        <v>6500</v>
      </c>
      <c r="C17" t="inlineStr">
        <is>
          <t>SX03 + IR01</t>
        </is>
      </c>
    </row>
    <row r="18">
      <c r="A18" t="inlineStr">
        <is>
          <t>Professional fees (architect, escribana, contador)</t>
        </is>
      </c>
      <c r="B18" s="7" t="n">
        <v>32000</v>
      </c>
      <c r="C18" t="inlineStr">
        <is>
          <t>local market</t>
        </is>
      </c>
    </row>
    <row r="19">
      <c r="A19" t="inlineStr">
        <is>
          <t>Opening inventory (F&amp;B, soft goods)</t>
        </is>
      </c>
      <c r="B19" s="7" t="n">
        <v>24000</v>
      </c>
      <c r="C19" t="inlineStr">
        <is>
          <t>HOUSING_PARK_CONCEPT §4</t>
        </is>
      </c>
    </row>
    <row r="20">
      <c r="A20" s="9" t="inlineStr">
        <is>
          <t>Subtotal</t>
        </is>
      </c>
      <c r="B20" s="10" t="n">
        <v>1409100</v>
      </c>
      <c r="C20" t="inlineStr"/>
    </row>
    <row r="21">
      <c r="A21" t="inlineStr">
        <is>
          <t>Contingency 10%</t>
        </is>
      </c>
      <c r="B21" s="7" t="n">
        <v>140910</v>
      </c>
      <c r="C21" t="inlineStr"/>
    </row>
    <row r="22">
      <c r="A22" s="9" t="inlineStr">
        <is>
          <t>TOTAL PHASE 1 (recommended options)</t>
        </is>
      </c>
      <c r="B22" s="10" t="n">
        <v>1550010</v>
      </c>
      <c r="C22" t="inlineStr">
        <is>
          <t>vs FINANCIAL_MODEL.md €5.5M baseline (their model assumes 30 cabins, not 5)</t>
        </is>
      </c>
    </row>
    <row r="23">
      <c r="A23" t="inlineStr"/>
      <c r="C23" t="inlineStr"/>
    </row>
    <row r="24">
      <c r="A24" t="inlineStr">
        <is>
          <t>PHASE 2 CAPEX (5 → 10 cabins)</t>
        </is>
      </c>
      <c r="B24" s="7" t="n">
        <v>3000000</v>
      </c>
      <c r="C24" t="inlineStr">
        <is>
          <t>FINANCIAL_MODEL.md baseline</t>
        </is>
      </c>
    </row>
    <row r="25">
      <c r="A25" t="inlineStr"/>
      <c r="C25" t="inlineStr"/>
    </row>
    <row r="26">
      <c r="A26" t="inlineStr">
        <is>
          <t>PHASE 3 CAPEX (10 → 30 cabins)</t>
        </is>
      </c>
      <c r="B26" s="7" t="n">
        <v>5900000</v>
      </c>
      <c r="C26" t="inlineStr">
        <is>
          <t>FINANCIAL_MODEL.md baseline</t>
        </is>
      </c>
    </row>
    <row r="27">
      <c r="A27" t="inlineStr"/>
      <c r="C27" t="inlineStr"/>
    </row>
    <row r="28">
      <c r="A28" s="9" t="inlineStr">
        <is>
          <t>TOTAL PHASE 1+2+3</t>
        </is>
      </c>
      <c r="B28" s="10" t="n">
        <v>10450010</v>
      </c>
      <c r="C28" t="inlineStr">
        <is>
          <t>excludes land; €16.7M per Wes master plan if all-inclusive</t>
        </is>
      </c>
    </row>
    <row r="29">
      <c r="A29" t="inlineStr">
        <is>
          <t>Operational runway (2 yr) [FINANCIAL_MODEL.md]</t>
        </is>
      </c>
      <c r="B29" s="7" t="n">
        <v>1400000</v>
      </c>
      <c r="C29" t="inlineStr">
        <is>
          <t>required before revenue stabilizes</t>
        </is>
      </c>
    </row>
    <row r="30">
      <c r="A30" s="9" t="inlineStr">
        <is>
          <t>GRAND TOTAL</t>
        </is>
      </c>
      <c r="B30" s="11" t="n">
        <v>11850010</v>
      </c>
      <c r="C30" t="inlineStr">
        <is>
          <t>all-in cost for 30-cabin project + 2yr operational runway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3" t="inlineStr">
        <is>
          <t>REVENUE PROJECTION — 5 years × 3 scenarios</t>
        </is>
      </c>
    </row>
    <row r="2">
      <c r="A2" s="2" t="inlineStr">
        <is>
          <t>Source: FINANCIAL_MODEL.md (Wes 2026-06-30) + CAPEX_OPTIONS_2026-07-06 §B.1 (ADR €220 baseline) + inflation assumption 5%/yr</t>
        </is>
      </c>
    </row>
    <row r="4">
      <c r="A4" s="3" t="inlineStr">
        <is>
          <t>NEGATIVE SCENARIO (20% occupancy)</t>
        </is>
      </c>
    </row>
    <row r="5">
      <c r="A5" s="5" t="inlineStr">
        <is>
          <t>Year</t>
        </is>
      </c>
      <c r="B5" s="5" t="inlineStr">
        <is>
          <t>Cabins</t>
        </is>
      </c>
      <c r="C5" s="5" t="inlineStr">
        <is>
          <t>ADR EUR</t>
        </is>
      </c>
      <c r="D5" s="5" t="inlineStr">
        <is>
          <t>Occ</t>
        </is>
      </c>
      <c r="E5" s="5" t="inlineStr">
        <is>
          <t>Cabin Rev</t>
        </is>
      </c>
      <c r="F5" s="5" t="inlineStr">
        <is>
          <t>F&amp;B Rev</t>
        </is>
      </c>
      <c r="G5" s="5" t="inlineStr">
        <is>
          <t>Other Rev</t>
        </is>
      </c>
      <c r="H5" s="5" t="inlineStr">
        <is>
          <t>TOTAL</t>
        </is>
      </c>
    </row>
    <row r="6">
      <c r="A6" t="n">
        <v>1</v>
      </c>
      <c r="B6" s="6" t="n">
        <v>5</v>
      </c>
      <c r="C6" s="7" t="n">
        <v>180</v>
      </c>
      <c r="D6" s="8" t="n">
        <v>0.15</v>
      </c>
      <c r="E6" s="7">
        <f>B6*365*C6*D6</f>
        <v/>
      </c>
      <c r="F6" s="7">
        <f>E6*0.30</f>
        <v/>
      </c>
      <c r="G6" s="7">
        <f>E6*0.05</f>
        <v/>
      </c>
      <c r="H6" s="7">
        <f>E6+F6+G6</f>
        <v/>
      </c>
    </row>
    <row r="7">
      <c r="A7" t="n">
        <v>2</v>
      </c>
      <c r="B7" s="6" t="n">
        <v>10</v>
      </c>
      <c r="C7" s="7" t="n">
        <v>200</v>
      </c>
      <c r="D7" s="8" t="n">
        <v>0.18</v>
      </c>
      <c r="E7" s="7">
        <f>B7*365*C7*D7</f>
        <v/>
      </c>
      <c r="F7" s="7">
        <f>E7*0.30</f>
        <v/>
      </c>
      <c r="G7" s="7">
        <f>E7*0.05</f>
        <v/>
      </c>
      <c r="H7" s="7">
        <f>E7+F7+G7</f>
        <v/>
      </c>
    </row>
    <row r="8">
      <c r="A8" t="n">
        <v>3</v>
      </c>
      <c r="B8" s="6" t="n">
        <v>30</v>
      </c>
      <c r="C8" s="7" t="n">
        <v>220</v>
      </c>
      <c r="D8" s="8" t="n">
        <v>0.2</v>
      </c>
      <c r="E8" s="7">
        <f>B8*365*C8*D8</f>
        <v/>
      </c>
      <c r="F8" s="7">
        <f>E8*0.30</f>
        <v/>
      </c>
      <c r="G8" s="7">
        <f>E8*0.05</f>
        <v/>
      </c>
      <c r="H8" s="7">
        <f>E8+F8+G8</f>
        <v/>
      </c>
    </row>
    <row r="9">
      <c r="A9" t="n">
        <v>4</v>
      </c>
      <c r="B9" s="6" t="n">
        <v>30</v>
      </c>
      <c r="C9" s="7" t="n">
        <v>240</v>
      </c>
      <c r="D9" s="8" t="n">
        <v>0.22</v>
      </c>
      <c r="E9" s="7">
        <f>B9*365*C9*D9</f>
        <v/>
      </c>
      <c r="F9" s="7">
        <f>E9*0.30</f>
        <v/>
      </c>
      <c r="G9" s="7">
        <f>E9*0.05</f>
        <v/>
      </c>
      <c r="H9" s="7">
        <f>E9+F9+G9</f>
        <v/>
      </c>
    </row>
    <row r="10">
      <c r="A10" t="n">
        <v>5</v>
      </c>
      <c r="B10" s="6" t="n">
        <v>30</v>
      </c>
      <c r="C10" s="7" t="n">
        <v>250</v>
      </c>
      <c r="D10" s="8" t="n">
        <v>0.22</v>
      </c>
      <c r="E10" s="7">
        <f>B10*365*C10*D10</f>
        <v/>
      </c>
      <c r="F10" s="7">
        <f>E10*0.30</f>
        <v/>
      </c>
      <c r="G10" s="7">
        <f>E10*0.05</f>
        <v/>
      </c>
      <c r="H10" s="7">
        <f>E10+F10+G10</f>
        <v/>
      </c>
    </row>
    <row r="12">
      <c r="A12" s="3" t="inlineStr">
        <is>
          <t>AVERAGE SCENARIO (25% occupancy)</t>
        </is>
      </c>
    </row>
    <row r="13">
      <c r="A13" s="5" t="inlineStr">
        <is>
          <t>Year</t>
        </is>
      </c>
      <c r="B13" s="5" t="inlineStr">
        <is>
          <t>Cabins</t>
        </is>
      </c>
      <c r="C13" s="5" t="inlineStr">
        <is>
          <t>ADR EUR</t>
        </is>
      </c>
      <c r="D13" s="5" t="inlineStr">
        <is>
          <t>Occ</t>
        </is>
      </c>
      <c r="E13" s="5" t="inlineStr">
        <is>
          <t>Cabin Rev</t>
        </is>
      </c>
      <c r="F13" s="5" t="inlineStr">
        <is>
          <t>F&amp;B Rev</t>
        </is>
      </c>
      <c r="G13" s="5" t="inlineStr">
        <is>
          <t>Other Rev</t>
        </is>
      </c>
      <c r="H13" s="5" t="inlineStr">
        <is>
          <t>TOTAL</t>
        </is>
      </c>
    </row>
    <row r="14">
      <c r="A14" t="n">
        <v>1</v>
      </c>
      <c r="B14" s="6" t="n">
        <v>5</v>
      </c>
      <c r="C14" s="7" t="n">
        <v>200</v>
      </c>
      <c r="D14" s="8" t="n">
        <v>0.2</v>
      </c>
      <c r="E14" s="7">
        <f>B14*365*C14*D14</f>
        <v/>
      </c>
      <c r="F14" s="7">
        <f>E14*0.33</f>
        <v/>
      </c>
      <c r="G14" s="7">
        <f>E14*0.08</f>
        <v/>
      </c>
      <c r="H14" s="7">
        <f>E14+F14+G14</f>
        <v/>
      </c>
    </row>
    <row r="15">
      <c r="A15" t="n">
        <v>2</v>
      </c>
      <c r="B15" s="6" t="n">
        <v>10</v>
      </c>
      <c r="C15" s="7" t="n">
        <v>220</v>
      </c>
      <c r="D15" s="8" t="n">
        <v>0.23</v>
      </c>
      <c r="E15" s="7">
        <f>B15*365*C15*D15</f>
        <v/>
      </c>
      <c r="F15" s="7">
        <f>E15*0.33</f>
        <v/>
      </c>
      <c r="G15" s="7">
        <f>E15*0.08</f>
        <v/>
      </c>
      <c r="H15" s="7">
        <f>E15+F15+G15</f>
        <v/>
      </c>
    </row>
    <row r="16">
      <c r="A16" t="n">
        <v>3</v>
      </c>
      <c r="B16" s="6" t="n">
        <v>30</v>
      </c>
      <c r="C16" s="7" t="n">
        <v>240</v>
      </c>
      <c r="D16" s="8" t="n">
        <v>0.25</v>
      </c>
      <c r="E16" s="7">
        <f>B16*365*C16*D16</f>
        <v/>
      </c>
      <c r="F16" s="7">
        <f>E16*0.33</f>
        <v/>
      </c>
      <c r="G16" s="7">
        <f>E16*0.08</f>
        <v/>
      </c>
      <c r="H16" s="7">
        <f>E16+F16+G16</f>
        <v/>
      </c>
    </row>
    <row r="17">
      <c r="A17" t="n">
        <v>4</v>
      </c>
      <c r="B17" s="6" t="n">
        <v>30</v>
      </c>
      <c r="C17" s="7" t="n">
        <v>260</v>
      </c>
      <c r="D17" s="8" t="n">
        <v>0.28</v>
      </c>
      <c r="E17" s="7">
        <f>B17*365*C17*D17</f>
        <v/>
      </c>
      <c r="F17" s="7">
        <f>E17*0.33</f>
        <v/>
      </c>
      <c r="G17" s="7">
        <f>E17*0.08</f>
        <v/>
      </c>
      <c r="H17" s="7">
        <f>E17+F17+G17</f>
        <v/>
      </c>
    </row>
    <row r="18">
      <c r="A18" t="n">
        <v>5</v>
      </c>
      <c r="B18" s="6" t="n">
        <v>30</v>
      </c>
      <c r="C18" s="7" t="n">
        <v>270</v>
      </c>
      <c r="D18" s="8" t="n">
        <v>0.28</v>
      </c>
      <c r="E18" s="7">
        <f>B18*365*C18*D18</f>
        <v/>
      </c>
      <c r="F18" s="7">
        <f>E18*0.33</f>
        <v/>
      </c>
      <c r="G18" s="7">
        <f>E18*0.08</f>
        <v/>
      </c>
      <c r="H18" s="7">
        <f>E18+F18+G18</f>
        <v/>
      </c>
    </row>
    <row r="20">
      <c r="A20" s="3" t="inlineStr">
        <is>
          <t>GOOD SCENARIO (35% occupancy)</t>
        </is>
      </c>
    </row>
    <row r="21">
      <c r="A21" s="5" t="inlineStr">
        <is>
          <t>Year</t>
        </is>
      </c>
      <c r="B21" s="5" t="inlineStr">
        <is>
          <t>Cabins</t>
        </is>
      </c>
      <c r="C21" s="5" t="inlineStr">
        <is>
          <t>ADR EUR</t>
        </is>
      </c>
      <c r="D21" s="5" t="inlineStr">
        <is>
          <t>Occ</t>
        </is>
      </c>
      <c r="E21" s="5" t="inlineStr">
        <is>
          <t>Cabin Rev</t>
        </is>
      </c>
      <c r="F21" s="5" t="inlineStr">
        <is>
          <t>F&amp;B Rev</t>
        </is>
      </c>
      <c r="G21" s="5" t="inlineStr">
        <is>
          <t>Other Rev</t>
        </is>
      </c>
      <c r="H21" s="5" t="inlineStr">
        <is>
          <t>TOTAL</t>
        </is>
      </c>
    </row>
    <row r="22">
      <c r="A22" t="n">
        <v>1</v>
      </c>
      <c r="B22" s="6" t="n">
        <v>5</v>
      </c>
      <c r="C22" s="7" t="n">
        <v>220</v>
      </c>
      <c r="D22" s="8" t="n">
        <v>0.25</v>
      </c>
      <c r="E22" s="7">
        <f>B22*365*C22*D22</f>
        <v/>
      </c>
      <c r="F22" s="7">
        <f>E22*0.35</f>
        <v/>
      </c>
      <c r="G22" s="7">
        <f>E22*0.10</f>
        <v/>
      </c>
      <c r="H22" s="7">
        <f>E22+F22+G22</f>
        <v/>
      </c>
    </row>
    <row r="23">
      <c r="A23" t="n">
        <v>2</v>
      </c>
      <c r="B23" s="6" t="n">
        <v>10</v>
      </c>
      <c r="C23" s="7" t="n">
        <v>240</v>
      </c>
      <c r="D23" s="8" t="n">
        <v>0.3</v>
      </c>
      <c r="E23" s="7">
        <f>B23*365*C23*D23</f>
        <v/>
      </c>
      <c r="F23" s="7">
        <f>E23*0.35</f>
        <v/>
      </c>
      <c r="G23" s="7">
        <f>E23*0.10</f>
        <v/>
      </c>
      <c r="H23" s="7">
        <f>E23+F23+G23</f>
        <v/>
      </c>
    </row>
    <row r="24">
      <c r="A24" t="n">
        <v>3</v>
      </c>
      <c r="B24" s="6" t="n">
        <v>30</v>
      </c>
      <c r="C24" s="7" t="n">
        <v>260</v>
      </c>
      <c r="D24" s="8" t="n">
        <v>0.35</v>
      </c>
      <c r="E24" s="7">
        <f>B24*365*C24*D24</f>
        <v/>
      </c>
      <c r="F24" s="7">
        <f>E24*0.35</f>
        <v/>
      </c>
      <c r="G24" s="7">
        <f>E24*0.10</f>
        <v/>
      </c>
      <c r="H24" s="7">
        <f>E24+F24+G24</f>
        <v/>
      </c>
    </row>
    <row r="25">
      <c r="A25" t="n">
        <v>4</v>
      </c>
      <c r="B25" s="6" t="n">
        <v>30</v>
      </c>
      <c r="C25" s="7" t="n">
        <v>280</v>
      </c>
      <c r="D25" s="8" t="n">
        <v>0.4</v>
      </c>
      <c r="E25" s="7">
        <f>B25*365*C25*D25</f>
        <v/>
      </c>
      <c r="F25" s="7">
        <f>E25*0.35</f>
        <v/>
      </c>
      <c r="G25" s="7">
        <f>E25*0.10</f>
        <v/>
      </c>
      <c r="H25" s="7">
        <f>E25+F25+G25</f>
        <v/>
      </c>
    </row>
    <row r="26">
      <c r="A26" t="n">
        <v>5</v>
      </c>
      <c r="B26" s="6" t="n">
        <v>30</v>
      </c>
      <c r="C26" s="7" t="n">
        <v>300</v>
      </c>
      <c r="D26" s="8" t="n">
        <v>0.4</v>
      </c>
      <c r="E26" s="7">
        <f>B26*365*C26*D26</f>
        <v/>
      </c>
      <c r="F26" s="7">
        <f>E26*0.35</f>
        <v/>
      </c>
      <c r="G26" s="7">
        <f>E26*0.10</f>
        <v/>
      </c>
      <c r="H26" s="7">
        <f>E26+F26+G26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>
      <c r="A1" s="13" t="inlineStr">
        <is>
          <t>STAFF PLAN — 5 years with PY social costs (IPS 16.5% + aguinaldo 8.33% + vacaciones 5%)</t>
        </is>
      </c>
    </row>
    <row r="2">
      <c r="A2" s="2" t="inlineStr">
        <is>
          <t>Source: LEGAL_RESEARCH_PACK §E.3 + PR12 (PY labor law) + FINANCIAL_MODEL.md §5</t>
        </is>
      </c>
    </row>
    <row r="4">
      <c r="A4" s="5" t="inlineStr">
        <is>
          <t>Role</t>
        </is>
      </c>
      <c r="B4" s="5" t="inlineStr">
        <is>
          <t>Count</t>
        </is>
      </c>
      <c r="C4" s="5" t="inlineStr">
        <is>
          <t>Monthly EUR</t>
        </is>
      </c>
      <c r="D4" s="5" t="inlineStr">
        <is>
          <t>Annual EUR base</t>
        </is>
      </c>
      <c r="E4" s="5" t="inlineStr">
        <is>
          <t>PY social 30%</t>
        </is>
      </c>
      <c r="F4" s="5" t="inlineStr">
        <is>
          <t>Annual EUR total</t>
        </is>
      </c>
    </row>
    <row r="5">
      <c r="A5" t="inlineStr">
        <is>
          <t>Resort manager (expat-grade)</t>
        </is>
      </c>
      <c r="B5" s="6" t="n">
        <v>1</v>
      </c>
      <c r="C5" s="7" t="n">
        <v>3500</v>
      </c>
      <c r="D5" s="7">
        <f>B5*C5*12</f>
        <v/>
      </c>
      <c r="E5" s="7">
        <f>D5*0.30</f>
        <v/>
      </c>
      <c r="F5" s="7">
        <f>D5+E5</f>
        <v/>
      </c>
    </row>
    <row r="6">
      <c r="A6" t="inlineStr">
        <is>
          <t>Assistant manager</t>
        </is>
      </c>
      <c r="B6" s="6" t="n">
        <v>1</v>
      </c>
      <c r="C6" s="7" t="n">
        <v>1500</v>
      </c>
      <c r="D6" s="7">
        <f>B6*C6*12</f>
        <v/>
      </c>
      <c r="E6" s="7">
        <f>D6*0.30</f>
        <v/>
      </c>
      <c r="F6" s="7">
        <f>D6+E6</f>
        <v/>
      </c>
    </row>
    <row r="7">
      <c r="A7" t="inlineStr">
        <is>
          <t>Reception (2-shift)</t>
        </is>
      </c>
      <c r="B7" s="6" t="n">
        <v>3</v>
      </c>
      <c r="C7" s="7" t="n">
        <v>700</v>
      </c>
      <c r="D7" s="7">
        <f>B7*C7*12</f>
        <v/>
      </c>
      <c r="E7" s="7">
        <f>D7*0.30</f>
        <v/>
      </c>
      <c r="F7" s="7">
        <f>D7+E7</f>
        <v/>
      </c>
    </row>
    <row r="8">
      <c r="A8" t="inlineStr">
        <is>
          <t>Head chef</t>
        </is>
      </c>
      <c r="B8" s="6" t="n">
        <v>1</v>
      </c>
      <c r="C8" s="7" t="n">
        <v>1200</v>
      </c>
      <c r="D8" s="7">
        <f>B8*C8*12</f>
        <v/>
      </c>
      <c r="E8" s="7">
        <f>D8*0.30</f>
        <v/>
      </c>
      <c r="F8" s="7">
        <f>D8+E8</f>
        <v/>
      </c>
    </row>
    <row r="9">
      <c r="A9" t="inlineStr">
        <is>
          <t>Sous chef</t>
        </is>
      </c>
      <c r="B9" s="6" t="n">
        <v>2</v>
      </c>
      <c r="C9" s="7" t="n">
        <v>800</v>
      </c>
      <c r="D9" s="7">
        <f>B9*C9*12</f>
        <v/>
      </c>
      <c r="E9" s="7">
        <f>D9*0.30</f>
        <v/>
      </c>
      <c r="F9" s="7">
        <f>D9+E9</f>
        <v/>
      </c>
    </row>
    <row r="10">
      <c r="A10" t="inlineStr">
        <is>
          <t>Line cook</t>
        </is>
      </c>
      <c r="B10" s="6" t="n">
        <v>2</v>
      </c>
      <c r="C10" s="7" t="n">
        <v>650</v>
      </c>
      <c r="D10" s="7">
        <f>B10*C10*12</f>
        <v/>
      </c>
      <c r="E10" s="7">
        <f>D10*0.30</f>
        <v/>
      </c>
      <c r="F10" s="7">
        <f>D10+E10</f>
        <v/>
      </c>
    </row>
    <row r="11">
      <c r="A11" t="inlineStr">
        <is>
          <t>Bar/service</t>
        </is>
      </c>
      <c r="B11" s="6" t="n">
        <v>3</v>
      </c>
      <c r="C11" s="7" t="n">
        <v>600</v>
      </c>
      <c r="D11" s="7">
        <f>B11*C11*12</f>
        <v/>
      </c>
      <c r="E11" s="7">
        <f>D11*0.30</f>
        <v/>
      </c>
      <c r="F11" s="7">
        <f>D11+E11</f>
        <v/>
      </c>
    </row>
    <row r="12">
      <c r="A12" t="inlineStr">
        <is>
          <t>Housekeeping (per 3 cabins)</t>
        </is>
      </c>
      <c r="B12" s="6" t="n">
        <v>7</v>
      </c>
      <c r="C12" s="7" t="n">
        <v>500</v>
      </c>
      <c r="D12" s="7">
        <f>B12*C12*12</f>
        <v/>
      </c>
      <c r="E12" s="7">
        <f>D12*0.30</f>
        <v/>
      </c>
      <c r="F12" s="7">
        <f>D12+E12</f>
        <v/>
      </c>
    </row>
    <row r="13">
      <c r="A13" t="inlineStr">
        <is>
          <t>Maintenance</t>
        </is>
      </c>
      <c r="B13" s="6" t="n">
        <v>2</v>
      </c>
      <c r="C13" s="7" t="n">
        <v>700</v>
      </c>
      <c r="D13" s="7">
        <f>B13*C13*12</f>
        <v/>
      </c>
      <c r="E13" s="7">
        <f>D13*0.30</f>
        <v/>
      </c>
      <c r="F13" s="7">
        <f>D13+E13</f>
        <v/>
      </c>
    </row>
    <row r="14">
      <c r="A14" t="inlineStr">
        <is>
          <t>Garden / hovenier</t>
        </is>
      </c>
      <c r="B14" s="6" t="n">
        <v>3</v>
      </c>
      <c r="C14" s="7" t="n">
        <v>600</v>
      </c>
      <c r="D14" s="7">
        <f>B14*C14*12</f>
        <v/>
      </c>
      <c r="E14" s="7">
        <f>D14*0.30</f>
        <v/>
      </c>
      <c r="F14" s="7">
        <f>D14+E14</f>
        <v/>
      </c>
    </row>
    <row r="15">
      <c r="A15" t="inlineStr">
        <is>
          <t>Wellness / spa staff</t>
        </is>
      </c>
      <c r="B15" s="6" t="n">
        <v>2</v>
      </c>
      <c r="C15" s="7" t="n">
        <v>600</v>
      </c>
      <c r="D15" s="7">
        <f>B15*C15*12</f>
        <v/>
      </c>
      <c r="E15" s="7">
        <f>D15*0.30</f>
        <v/>
      </c>
      <c r="F15" s="7">
        <f>D15+E15</f>
        <v/>
      </c>
    </row>
    <row r="16">
      <c r="A16" t="inlineStr">
        <is>
          <t>Security (night)</t>
        </is>
      </c>
      <c r="B16" s="6" t="n">
        <v>1</v>
      </c>
      <c r="C16" s="7" t="n">
        <v>600</v>
      </c>
      <c r="D16" s="7">
        <f>B16*C16*12</f>
        <v/>
      </c>
      <c r="E16" s="7">
        <f>D16*0.30</f>
        <v/>
      </c>
      <c r="F16" s="7">
        <f>D16+E16</f>
        <v/>
      </c>
    </row>
    <row r="17">
      <c r="A17" t="inlineStr">
        <is>
          <t>Marketing/admin</t>
        </is>
      </c>
      <c r="B17" s="6" t="n">
        <v>1</v>
      </c>
      <c r="C17" s="7" t="n">
        <v>800</v>
      </c>
      <c r="D17" s="7">
        <f>B17*C17*12</f>
        <v/>
      </c>
      <c r="E17" s="7">
        <f>D17*0.30</f>
        <v/>
      </c>
      <c r="F17" s="7">
        <f>D17+E17</f>
        <v/>
      </c>
    </row>
    <row r="18">
      <c r="A18" s="9" t="inlineStr">
        <is>
          <t>TOTAL full 30-cabin operation</t>
        </is>
      </c>
      <c r="B18" s="6">
        <f>SUM(B5:B17)</f>
        <v/>
      </c>
      <c r="D18" s="7">
        <f>SUM(D5:D17)</f>
        <v/>
      </c>
      <c r="E18" s="7">
        <f>SUM(E5:E17)</f>
        <v/>
      </c>
      <c r="F18" s="10">
        <f>SUM(F5:F17)</f>
        <v/>
      </c>
    </row>
    <row r="20">
      <c r="A20" s="9" t="inlineStr">
        <is>
          <t>YEAR 1 (5 cabins, 6 staff minimum)</t>
        </is>
      </c>
      <c r="B20" s="6" t="n">
        <v>6</v>
      </c>
      <c r="C20" s="7" t="n">
        <v>800</v>
      </c>
      <c r="D20" s="7">
        <f>B20*C20*12</f>
        <v/>
      </c>
      <c r="E20" s="7">
        <f>D20*0.30</f>
        <v/>
      </c>
      <c r="F20" s="7">
        <f>D20+E20</f>
        <v/>
      </c>
    </row>
    <row r="21">
      <c r="A21" s="9" t="inlineStr">
        <is>
          <t>YEAR 2 (10 cabins, ~12 staff)</t>
        </is>
      </c>
      <c r="B21" s="6" t="n">
        <v>12</v>
      </c>
      <c r="C21" s="7" t="n">
        <v>800</v>
      </c>
      <c r="D21" s="7">
        <f>B21*C21*12</f>
        <v/>
      </c>
      <c r="E21" s="7">
        <f>D21*0.30</f>
        <v/>
      </c>
      <c r="F21" s="7">
        <f>D21+E21</f>
        <v/>
      </c>
    </row>
    <row r="22">
      <c r="A22" s="9" t="inlineStr">
        <is>
          <t>YEAR 3+ (30 cabins, full staffing)</t>
        </is>
      </c>
      <c r="B22" s="6" t="n">
        <v>29</v>
      </c>
      <c r="C22" s="7" t="n">
        <v>800</v>
      </c>
      <c r="D22" s="7">
        <f>B22*C22*12</f>
        <v/>
      </c>
      <c r="E22" s="7">
        <f>D22*0.30</f>
        <v/>
      </c>
      <c r="F22" s="17">
        <f>D22+E22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3" t="inlineStr">
        <is>
          <t>OPERATING COSTS — variable + fixed, by scenario</t>
        </is>
      </c>
    </row>
    <row r="2">
      <c r="A2" s="2" t="inlineStr">
        <is>
          <t>Source: FINANCIAL_MODEL.md §6 + LEGAL_RESEARCH_PACK §C (utility rates) + SUPPLY_CHAIN_RECOMMENDATIONS §A.16 (F&amp;B COGS)</t>
        </is>
      </c>
    </row>
    <row r="4">
      <c r="A4" s="3" t="inlineStr">
        <is>
          <t>VARIABLE (scales with occupancy)</t>
        </is>
      </c>
    </row>
    <row r="5">
      <c r="A5" s="5" t="inlineStr">
        <is>
          <t>Item</t>
        </is>
      </c>
      <c r="B5" s="5" t="inlineStr">
        <is>
          <t>% of revenue / basis</t>
        </is>
      </c>
      <c r="C5" s="5" t="inlineStr">
        <is>
          <t>Note</t>
        </is>
      </c>
    </row>
    <row r="6">
      <c r="A6" t="inlineStr">
        <is>
          <t>F&amp;B COGS</t>
        </is>
      </c>
      <c r="B6" t="inlineStr">
        <is>
          <t>38% of F&amp;B revenue</t>
        </is>
      </c>
      <c r="C6" t="inlineStr">
        <is>
          <t>FINANCIAL_MODEL.md §6</t>
        </is>
      </c>
    </row>
    <row r="7">
      <c r="A7" t="inlineStr">
        <is>
          <t>Cleaning/linen</t>
        </is>
      </c>
      <c r="B7" t="inlineStr">
        <is>
          <t>€8/occupied-room-night</t>
        </is>
      </c>
      <c r="C7" t="inlineStr">
        <is>
          <t>FINANCIAL_MODEL.md §6</t>
        </is>
      </c>
    </row>
    <row r="8">
      <c r="A8" t="inlineStr">
        <is>
          <t>OTA booking fees (Booking.com/Airbnb)</t>
        </is>
      </c>
      <c r="B8" t="inlineStr">
        <is>
          <t>15% on platform revenue</t>
        </is>
      </c>
      <c r="C8" t="inlineStr">
        <is>
          <t>avoids margin erosion; direct first</t>
        </is>
      </c>
    </row>
    <row r="9">
      <c r="A9" t="inlineStr">
        <is>
          <t>Linen replacement (Phase 1)</t>
        </is>
      </c>
      <c r="B9" t="inlineStr">
        <is>
          <t>€3,000/yr</t>
        </is>
      </c>
      <c r="C9" t="inlineStr">
        <is>
          <t>low at 5 cabins</t>
        </is>
      </c>
    </row>
    <row r="10">
      <c r="A10" t="inlineStr">
        <is>
          <t>Toiletries + consumables</t>
        </is>
      </c>
      <c r="B10" t="inlineStr">
        <is>
          <t>€5/guest-night</t>
        </is>
      </c>
      <c r="C10" t="inlineStr">
        <is>
          <t>premium eco-toiletries</t>
        </is>
      </c>
    </row>
    <row r="11">
      <c r="A11" t="inlineStr">
        <is>
          <t>Guest experiences (welcome baskets, firewood)</t>
        </is>
      </c>
      <c r="B11" t="inlineStr">
        <is>
          <t>€10/cabin-night</t>
        </is>
      </c>
      <c r="C11" t="inlineStr">
        <is>
          <t>eco-positioning</t>
        </is>
      </c>
    </row>
    <row r="13">
      <c r="A13" s="3" t="inlineStr">
        <is>
          <t>FIXED (annual, full 30 cabins)</t>
        </is>
      </c>
    </row>
    <row r="14">
      <c r="A14" s="5" t="inlineStr">
        <is>
          <t>Item</t>
        </is>
      </c>
      <c r="B14" s="5" t="inlineStr">
        <is>
          <t>Year 1 (5 cab)</t>
        </is>
      </c>
      <c r="C14" s="5" t="inlineStr">
        <is>
          <t>Year 2 (10 cab)</t>
        </is>
      </c>
      <c r="D14" s="5" t="inlineStr">
        <is>
          <t>Year 3+ (30 cab)</t>
        </is>
      </c>
    </row>
    <row r="15">
      <c r="A15" t="inlineStr">
        <is>
          <t>Utilities (electric, water, internet)</t>
        </is>
      </c>
      <c r="B15" s="7" t="n">
        <v>18000</v>
      </c>
      <c r="C15" s="7" t="n">
        <v>30000</v>
      </c>
      <c r="D15" s="7" t="n">
        <v>55000</v>
      </c>
    </row>
    <row r="16">
      <c r="A16" t="inlineStr">
        <is>
          <t>Maintenance + repairs</t>
        </is>
      </c>
      <c r="B16" s="7" t="n">
        <v>25000</v>
      </c>
      <c r="C16" s="7" t="n">
        <v>45000</v>
      </c>
      <c r="D16" s="7" t="n">
        <v>110000</v>
      </c>
    </row>
    <row r="17">
      <c r="A17" t="inlineStr">
        <is>
          <t>Marketing (web, OTA, social, content)</t>
        </is>
      </c>
      <c r="B17" s="7" t="n">
        <v>12000</v>
      </c>
      <c r="C17" s="7" t="n">
        <v>25000</v>
      </c>
      <c r="D17" s="7" t="n">
        <v>42000</v>
      </c>
    </row>
    <row r="18">
      <c r="A18" t="inlineStr">
        <is>
          <t>Insurance (forest fire + liability + workers)</t>
        </is>
      </c>
      <c r="B18" s="7" t="n">
        <v>6500</v>
      </c>
      <c r="C18" s="7" t="n">
        <v>12000</v>
      </c>
      <c r="D18" s="7" t="n">
        <v>28000</v>
      </c>
    </row>
    <row r="19">
      <c r="A19" t="inlineStr">
        <is>
          <t>Fuel (vehicles, generator)</t>
        </is>
      </c>
      <c r="B19" s="7" t="n">
        <v>8000</v>
      </c>
      <c r="C19" s="7" t="n">
        <v>15000</v>
      </c>
      <c r="D19" s="7" t="n">
        <v>25000</v>
      </c>
    </row>
    <row r="20">
      <c r="A20" t="inlineStr">
        <is>
          <t>Reserves + contingency</t>
        </is>
      </c>
      <c r="B20" s="7" t="n">
        <v>8000</v>
      </c>
      <c r="C20" s="7" t="n">
        <v>18000</v>
      </c>
      <c r="D20" s="7" t="n">
        <v>30000</v>
      </c>
    </row>
    <row r="21">
      <c r="A21" t="inlineStr">
        <is>
          <t>Accounting + legal (NL+PY)</t>
        </is>
      </c>
      <c r="B21" s="7" t="n">
        <v>6000</v>
      </c>
      <c r="C21" s="7" t="n">
        <v>8000</v>
      </c>
      <c r="D21" s="7" t="n">
        <v>12000</v>
      </c>
    </row>
    <row r="22">
      <c r="A22" t="inlineStr">
        <is>
          <t>Software (PMS, Booking.com, OTA subscriptions)</t>
        </is>
      </c>
      <c r="B22" s="7" t="n">
        <v>4000</v>
      </c>
      <c r="C22" s="7" t="n">
        <v>7000</v>
      </c>
      <c r="D22" s="7" t="n">
        <v>12000</v>
      </c>
    </row>
    <row r="23">
      <c r="A23" t="inlineStr">
        <is>
          <t>Permit renewals (SENATUR, Municipalidad)</t>
        </is>
      </c>
      <c r="B23" s="7" t="n">
        <v>2000</v>
      </c>
      <c r="C23" s="7" t="n">
        <v>3000</v>
      </c>
      <c r="D23" s="7" t="n">
        <v>5000</v>
      </c>
    </row>
    <row r="24">
      <c r="A24" t="inlineStr">
        <is>
          <t>Insurance broker fee (WTW)</t>
        </is>
      </c>
      <c r="B24" s="7" t="n">
        <v>0</v>
      </c>
      <c r="C24" s="7" t="n">
        <v>2000</v>
      </c>
      <c r="D24" s="7" t="n">
        <v>4000</v>
      </c>
    </row>
    <row r="25">
      <c r="A25" t="inlineStr">
        <is>
          <t>IVA / tourist tax remittance</t>
        </is>
      </c>
      <c r="B25" s="7" t="n">
        <v>8000</v>
      </c>
      <c r="C25" s="7" t="n">
        <v>18000</v>
      </c>
      <c r="D25" s="7" t="n">
        <v>50000</v>
      </c>
    </row>
    <row r="26">
      <c r="A26" s="9" t="inlineStr">
        <is>
          <t>TOTAL FIXED</t>
        </is>
      </c>
      <c r="B26" s="10">
        <f>SUM(B15:B25)</f>
        <v/>
      </c>
      <c r="C26" s="10">
        <f>SUM(C15:C25)</f>
        <v/>
      </c>
      <c r="D26" s="10">
        <f>SUM(D15:D25)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5-YEAR P&amp;L — GOOD SCENARIO with 4-BV structure (IRE 10% PY + NL Box 2 24.5%)</t>
        </is>
      </c>
    </row>
    <row r="2">
      <c r="A2" s="2" t="inlineStr">
        <is>
          <t>Source: Revenue + Staff + OperatingCosts sheets, with the recommended 4-BV structure per LEGAL_RESEARCH §A</t>
        </is>
      </c>
    </row>
    <row r="4">
      <c r="A4" s="5" t="inlineStr">
        <is>
          <t>Item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</row>
    <row r="5">
      <c r="A5" t="inlineStr">
        <is>
          <t>Total revenue (from Revenue!H22:H26)</t>
        </is>
      </c>
      <c r="B5">
        <f>Revenue!B22</f>
        <v/>
      </c>
      <c r="C5">
        <f>Revenue!C22</f>
        <v/>
      </c>
      <c r="D5">
        <f>Revenue!D22</f>
        <v/>
      </c>
      <c r="E5">
        <f>Revenue!E22</f>
        <v/>
      </c>
      <c r="F5">
        <f>Revenue!F22</f>
        <v/>
      </c>
    </row>
    <row r="6">
      <c r="A6" t="inlineStr">
        <is>
          <t>Cabin revenue</t>
        </is>
      </c>
      <c r="B6" s="7" t="n">
        <v>100375</v>
      </c>
      <c r="C6" s="7" t="n">
        <v>262800</v>
      </c>
      <c r="D6" s="7" t="n">
        <v>996449.9999999999</v>
      </c>
      <c r="E6" s="7" t="n">
        <v>1226400</v>
      </c>
      <c r="F6" s="7" t="n">
        <v>1314000</v>
      </c>
    </row>
    <row r="7">
      <c r="A7" t="inlineStr">
        <is>
          <t>F&amp;B revenue (35% of cabin)</t>
        </is>
      </c>
      <c r="B7" s="7">
        <f>B6*0.35</f>
        <v/>
      </c>
      <c r="C7" s="7">
        <f>C6*0.35</f>
        <v/>
      </c>
      <c r="D7" s="7">
        <f>D6*0.35</f>
        <v/>
      </c>
      <c r="E7" s="7">
        <f>E6*0.35</f>
        <v/>
      </c>
      <c r="F7" s="7">
        <f>F6*0.35</f>
        <v/>
      </c>
    </row>
    <row r="8">
      <c r="A8" t="inlineStr">
        <is>
          <t>Other revenue (10% of cabin)</t>
        </is>
      </c>
      <c r="B8" s="7">
        <f>B6*0.10</f>
        <v/>
      </c>
      <c r="C8" s="7">
        <f>C6*0.10</f>
        <v/>
      </c>
      <c r="D8" s="7">
        <f>D6*0.10</f>
        <v/>
      </c>
      <c r="E8" s="7">
        <f>E6*0.10</f>
        <v/>
      </c>
      <c r="F8" s="7">
        <f>F6*0.10</f>
        <v/>
      </c>
    </row>
    <row r="9">
      <c r="A9" s="9" t="inlineStr">
        <is>
          <t>TOTAL REVENUE</t>
        </is>
      </c>
      <c r="B9" s="11">
        <f>SUM(B6:B8)</f>
        <v/>
      </c>
      <c r="C9" s="11">
        <f>SUM(C6:C8)</f>
        <v/>
      </c>
      <c r="D9" s="11">
        <f>SUM(D6:D8)</f>
        <v/>
      </c>
      <c r="E9" s="11">
        <f>SUM(E6:E8)</f>
        <v/>
      </c>
      <c r="F9" s="11">
        <f>SUM(F6:F8)</f>
        <v/>
      </c>
    </row>
    <row r="11">
      <c r="A11" s="9" t="inlineStr">
        <is>
          <t>COSTS</t>
        </is>
      </c>
    </row>
    <row r="12">
      <c r="A12" t="inlineStr">
        <is>
          <t>Staff (incl PY social costs)</t>
        </is>
      </c>
      <c r="B12" s="7" t="n">
        <v>70200</v>
      </c>
      <c r="C12" s="7" t="n">
        <v>140400</v>
      </c>
      <c r="D12" s="7" t="n">
        <v>338400</v>
      </c>
      <c r="E12" s="7" t="n">
        <v>338400</v>
      </c>
      <c r="F12" s="7" t="n">
        <v>338400</v>
      </c>
    </row>
    <row r="13">
      <c r="A13" t="inlineStr">
        <is>
          <t>Variable operating (F&amp;B COGS + OTA + linen + consumables + experiences)</t>
        </is>
      </c>
      <c r="B13" s="7">
        <f>B7*0.38 + B6*0.05</f>
        <v/>
      </c>
      <c r="C13" s="7">
        <f>C7*0.38 + C6*0.05</f>
        <v/>
      </c>
      <c r="D13" s="7">
        <f>D7*0.38 + D6*0.05</f>
        <v/>
      </c>
      <c r="E13" s="7">
        <f>E7*0.38 + E6*0.05</f>
        <v/>
      </c>
      <c r="F13" s="7">
        <f>F7*0.38 + F6*0.05</f>
        <v/>
      </c>
    </row>
    <row r="14">
      <c r="A14" t="inlineStr">
        <is>
          <t>Fixed operating (utilities + maintenance + marketing + insurance + fuel + reserves + accounting + software + permits)</t>
        </is>
      </c>
      <c r="B14" s="7" t="n">
        <v>72500</v>
      </c>
      <c r="C14" s="7" t="n">
        <v>183000</v>
      </c>
      <c r="D14" s="7" t="n">
        <v>373000</v>
      </c>
      <c r="E14" s="7" t="n">
        <v>373000</v>
      </c>
      <c r="F14" s="7" t="n">
        <v>373000</v>
      </c>
    </row>
    <row r="15">
      <c r="A15" s="9" t="inlineStr">
        <is>
          <t>TOTAL COSTS</t>
        </is>
      </c>
      <c r="B15" s="10">
        <f>SUM(B12:B14)</f>
        <v/>
      </c>
      <c r="C15" s="10">
        <f>SUM(C12:C14)</f>
        <v/>
      </c>
      <c r="D15" s="10">
        <f>SUM(D12:D14)</f>
        <v/>
      </c>
      <c r="E15" s="10">
        <f>SUM(E12:E14)</f>
        <v/>
      </c>
      <c r="F15" s="10">
        <f>SUM(F12:F14)</f>
        <v/>
      </c>
    </row>
    <row r="17">
      <c r="A17" s="9" t="inlineStr">
        <is>
          <t>EBIT (Operating Profit)</t>
        </is>
      </c>
      <c r="B17" s="11">
        <f>B9-B15</f>
        <v/>
      </c>
      <c r="C17" s="11">
        <f>C9-C15</f>
        <v/>
      </c>
      <c r="D17" s="11">
        <f>D9-D15</f>
        <v/>
      </c>
      <c r="E17" s="11">
        <f>E9-E15</f>
        <v/>
      </c>
      <c r="F17" s="11">
        <f>F9-F15</f>
        <v/>
      </c>
    </row>
    <row r="18">
      <c r="A18" t="inlineStr">
        <is>
          <t>D&amp;A on capex (20yr straight-line)</t>
        </is>
      </c>
      <c r="B18" s="7" t="n">
        <v>275000</v>
      </c>
      <c r="C18" s="7" t="n">
        <v>540000</v>
      </c>
      <c r="D18" s="7" t="n">
        <v>835000</v>
      </c>
      <c r="E18" s="7" t="n">
        <v>835000</v>
      </c>
      <c r="F18" s="7" t="n">
        <v>835000</v>
      </c>
    </row>
    <row r="19">
      <c r="A19" t="inlineStr">
        <is>
          <t>Interest expense (on €5.5M @ 7%, declining as capex builds)</t>
        </is>
      </c>
      <c r="B19" s="7" t="n">
        <v>385000</v>
      </c>
      <c r="C19" s="7" t="n">
        <v>280000</v>
      </c>
      <c r="D19" s="7" t="n">
        <v>200000</v>
      </c>
      <c r="E19" s="7" t="n">
        <v>150000</v>
      </c>
      <c r="F19" s="7" t="n">
        <v>100000</v>
      </c>
    </row>
    <row r="20">
      <c r="A20" t="inlineStr">
        <is>
          <t>EBT (Earnings Before Tax)</t>
        </is>
      </c>
      <c r="B20" s="12">
        <f>B17-B18-B19</f>
        <v/>
      </c>
      <c r="C20" s="12">
        <f>C17-C18-C19</f>
        <v/>
      </c>
      <c r="D20" s="12">
        <f>D17-D18-D19</f>
        <v/>
      </c>
      <c r="E20" s="12">
        <f>E17-E18-E19</f>
        <v/>
      </c>
      <c r="F20" s="12">
        <f>F17-F18-F19</f>
        <v/>
      </c>
    </row>
    <row r="22">
      <c r="A22" t="inlineStr">
        <is>
          <t>PY IRE 10% (on EBT, only if positive)</t>
        </is>
      </c>
      <c r="B22" s="7">
        <f>MAX(0,B20*0.10)</f>
        <v/>
      </c>
      <c r="C22" s="7">
        <f>MAX(0,C20*0.10)</f>
        <v/>
      </c>
      <c r="D22" s="7">
        <f>MAX(0,D20*0.10)</f>
        <v/>
      </c>
      <c r="E22" s="7">
        <f>MAX(0,E20*0.10)</f>
        <v/>
      </c>
      <c r="F22" s="7">
        <f>MAX(0,F20*0.10)</f>
        <v/>
      </c>
    </row>
    <row r="23">
      <c r="A23" t="inlineStr">
        <is>
          <t>Net Income (after PY IRE)</t>
        </is>
      </c>
      <c r="B23" s="12">
        <f>B20-B22</f>
        <v/>
      </c>
      <c r="C23" s="12">
        <f>C20-C22</f>
        <v/>
      </c>
      <c r="D23" s="12">
        <f>D20-D22</f>
        <v/>
      </c>
      <c r="E23" s="12">
        <f>E20-E22</f>
        <v/>
      </c>
      <c r="F23" s="12">
        <f>F20-F22</f>
        <v/>
      </c>
    </row>
    <row r="25">
      <c r="A25" s="9" t="inlineStr">
        <is>
          <t>DISTRIBUTION TO WES (via BV 2 dividend)</t>
        </is>
      </c>
    </row>
    <row r="26">
      <c r="A26" t="inlineStr">
        <is>
          <t>Dividend declared (assume 80% of net income)</t>
        </is>
      </c>
      <c r="B26" s="7">
        <f>B23*0.80</f>
        <v/>
      </c>
      <c r="C26" s="7">
        <f>C23*0.80</f>
        <v/>
      </c>
      <c r="D26" s="7">
        <f>D23*0.80</f>
        <v/>
      </c>
      <c r="E26" s="7">
        <f>E23*0.80</f>
        <v/>
      </c>
      <c r="F26" s="7">
        <f>F23*0.80</f>
        <v/>
      </c>
    </row>
    <row r="27">
      <c r="A27" t="inlineStr">
        <is>
          <t>PY retention (BV 3 cash buffer, 20% of NI)</t>
        </is>
      </c>
      <c r="B27" s="7">
        <f>B23*0.20</f>
        <v/>
      </c>
      <c r="C27" s="7">
        <f>C23*0.20</f>
        <v/>
      </c>
      <c r="D27" s="7">
        <f>D23*0.20</f>
        <v/>
      </c>
      <c r="E27" s="7">
        <f>E23*0.20</f>
        <v/>
      </c>
      <c r="F27" s="7">
        <f>F23*0.20</f>
        <v/>
      </c>
    </row>
    <row r="28">
      <c r="A28" t="inlineStr">
        <is>
          <t>NL Box 2 (24.5% on Wes's portion)</t>
        </is>
      </c>
      <c r="B28" s="7">
        <f>B26*0.245</f>
        <v/>
      </c>
      <c r="C28" s="7">
        <f>C26*0.245</f>
        <v/>
      </c>
      <c r="D28" s="7">
        <f>D26*0.245</f>
        <v/>
      </c>
      <c r="E28" s="7">
        <f>E26*0.245</f>
        <v/>
      </c>
      <c r="F28" s="7">
        <f>F26*0.245</f>
        <v/>
      </c>
    </row>
    <row r="29">
      <c r="A29" s="9" t="inlineStr">
        <is>
          <t>Wes's NET dividend (after NL Box 2)</t>
        </is>
      </c>
      <c r="B29" s="11">
        <f>B26-B28</f>
        <v/>
      </c>
      <c r="C29" s="11">
        <f>C26-C28</f>
        <v/>
      </c>
      <c r="D29" s="11">
        <f>D26-D28</f>
        <v/>
      </c>
      <c r="E29" s="11">
        <f>E26-E28</f>
        <v/>
      </c>
      <c r="F29" s="11">
        <f>F26-F28</f>
        <v/>
      </c>
    </row>
    <row r="31">
      <c r="A31" t="inlineStr">
        <is>
          <t>EFFECTIVE TAX (combined PY IRE + NL Box 2)</t>
        </is>
      </c>
      <c r="B31" s="18">
        <f>(B22+B28)/B20</f>
        <v/>
      </c>
      <c r="C31" s="18">
        <f>(C22+C28)/C20</f>
        <v/>
      </c>
      <c r="D31" s="18">
        <f>(D22+D28)/D20</f>
        <v/>
      </c>
      <c r="E31" s="18">
        <f>(E22+E28)/E20</f>
        <v/>
      </c>
      <c r="F31" s="18">
        <f>(F22+F28)/F20</f>
        <v/>
      </c>
    </row>
    <row r="32">
      <c r="A32" t="inlineStr">
        <is>
          <t>NET RETAINED BY WES (% of EBT)</t>
        </is>
      </c>
      <c r="B32" s="16">
        <f>B29/B20</f>
        <v/>
      </c>
      <c r="C32" s="16">
        <f>C29/C20</f>
        <v/>
      </c>
      <c r="D32" s="16">
        <f>D29/D20</f>
        <v/>
      </c>
      <c r="E32" s="16">
        <f>E29/E20</f>
        <v/>
      </c>
      <c r="F32" s="16">
        <f>F29/F20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3" t="inlineStr">
        <is>
          <t>5-YEAR TAX PROJECTION — 3 structures side-by-side (GOOD scenario, in EUR)</t>
        </is>
      </c>
    </row>
    <row r="2">
      <c r="A2" s="2" t="inlineStr">
        <is>
          <t>Source: LEGAL_RESEARCH_PACK §B. The 3 structures differ in entity formation + dividend treatment</t>
        </is>
      </c>
    </row>
    <row r="4">
      <c r="A4" s="3" t="inlineStr">
        <is>
          <t>STRUCTURE 1: NO BV (Wes files IB only, all income in NL)</t>
        </is>
      </c>
    </row>
    <row r="5">
      <c r="A5" s="5" t="inlineStr">
        <is>
          <t>Year</t>
        </is>
      </c>
      <c r="B5" s="5" t="inlineStr">
        <is>
          <t>NL IB Box 1 (PY-source income)</t>
        </is>
      </c>
      <c r="C5" s="5" t="inlineStr">
        <is>
          <t>Notes</t>
        </is>
      </c>
    </row>
    <row r="6">
      <c r="A6" t="inlineStr">
        <is>
          <t>EBT (€)</t>
        </is>
      </c>
      <c r="B6" s="7">
        <f>PnL_5year!B20</f>
        <v/>
      </c>
      <c r="C6" s="7">
        <f>PnL_5year!C20</f>
        <v/>
      </c>
      <c r="D6" s="7">
        <f>PnL_5year!D20</f>
        <v/>
      </c>
      <c r="E6" s="7">
        <f>PnL_5year!E20</f>
        <v/>
      </c>
      <c r="F6" s="7">
        <f>PnL_5year!F20</f>
        <v/>
      </c>
    </row>
    <row r="7">
      <c r="A7" t="inlineStr">
        <is>
          <t>PY tax credit (if any, via NL-PY treaty)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</row>
    <row r="8">
      <c r="A8" t="inlineStr">
        <is>
          <t>NL IB Box 1 (37-49.5% progressive)</t>
        </is>
      </c>
      <c r="B8" s="7">
        <f>MAX(0,B6*0.37)</f>
        <v/>
      </c>
      <c r="C8" s="7">
        <f>MAX(0,C6*0.37)</f>
        <v/>
      </c>
      <c r="D8" s="7">
        <f>MAX(0,D6*0.495)</f>
        <v/>
      </c>
      <c r="E8" s="7">
        <f>MAX(0,E6*0.495)</f>
        <v/>
      </c>
      <c r="F8" s="7">
        <f>MAX(0,F6*0.495)</f>
        <v/>
      </c>
    </row>
    <row r="9">
      <c r="A9" t="inlineStr">
        <is>
          <t>Wes's NET (after NL IB only)</t>
        </is>
      </c>
      <c r="B9" s="11">
        <f>B6-B8</f>
        <v/>
      </c>
      <c r="C9" s="11">
        <f>C6-C8</f>
        <v/>
      </c>
      <c r="D9" s="11">
        <f>D6-D8</f>
        <v/>
      </c>
      <c r="E9" s="11">
        <f>E6-E8</f>
        <v/>
      </c>
      <c r="F9" s="11">
        <f>F6-F8</f>
        <v/>
      </c>
    </row>
    <row r="11">
      <c r="A11" s="3" t="inlineStr">
        <is>
          <t>STRUCTURE 2: 4-BV (Land PY + NL Hold + Fase 1 PY) — RECOMMENDED</t>
        </is>
      </c>
    </row>
    <row r="12">
      <c r="A12" s="5" t="inlineStr">
        <is>
          <t>Year</t>
        </is>
      </c>
      <c r="B12" s="5" t="inlineStr">
        <is>
          <t>BV 3 EBT</t>
        </is>
      </c>
      <c r="C12" s="5" t="inlineStr">
        <is>
          <t>IRE 10%</t>
        </is>
      </c>
      <c r="D12" s="5" t="inlineStr">
        <is>
          <t>BV 3 NI</t>
        </is>
      </c>
      <c r="E12" s="5" t="inlineStr">
        <is>
          <t>NL Box 2 (Wes)</t>
        </is>
      </c>
      <c r="F12" s="5" t="inlineStr">
        <is>
          <t>Wes NET</t>
        </is>
      </c>
    </row>
    <row r="13">
      <c r="A13" t="inlineStr">
        <is>
          <t>Y1</t>
        </is>
      </c>
      <c r="B13" s="7">
        <f>PnL_5year!B20</f>
        <v/>
      </c>
      <c r="C13" s="7">
        <f>PnL_5year!B22</f>
        <v/>
      </c>
      <c r="D13" s="7">
        <f>PnL_5year!B23</f>
        <v/>
      </c>
      <c r="E13" s="7">
        <f>PnL_5year!B28</f>
        <v/>
      </c>
      <c r="F13" s="11">
        <f>PnL_5year!B29</f>
        <v/>
      </c>
    </row>
    <row r="14">
      <c r="A14" t="inlineStr">
        <is>
          <t>Y2</t>
        </is>
      </c>
      <c r="B14" s="7">
        <f>PnL_5year!C20</f>
        <v/>
      </c>
      <c r="C14" s="7">
        <f>PnL_5year!C22</f>
        <v/>
      </c>
      <c r="D14" s="7">
        <f>PnL_5year!C23</f>
        <v/>
      </c>
      <c r="E14" s="7">
        <f>PnL_5year!C28</f>
        <v/>
      </c>
      <c r="F14" s="11">
        <f>PnL_5year!C29</f>
        <v/>
      </c>
    </row>
    <row r="15">
      <c r="A15" t="inlineStr">
        <is>
          <t>Y3</t>
        </is>
      </c>
      <c r="B15" s="7">
        <f>PnL_5year!D20</f>
        <v/>
      </c>
      <c r="C15" s="7">
        <f>PnL_5year!D22</f>
        <v/>
      </c>
      <c r="D15" s="7">
        <f>PnL_5year!D23</f>
        <v/>
      </c>
      <c r="E15" s="7">
        <f>PnL_5year!D28</f>
        <v/>
      </c>
      <c r="F15" s="11">
        <f>PnL_5year!D29</f>
        <v/>
      </c>
    </row>
    <row r="16">
      <c r="A16" t="inlineStr">
        <is>
          <t>Y4</t>
        </is>
      </c>
      <c r="B16" s="7">
        <f>PnL_5year!E20</f>
        <v/>
      </c>
      <c r="C16" s="7">
        <f>PnL_5year!E22</f>
        <v/>
      </c>
      <c r="D16" s="7">
        <f>PnL_5year!E23</f>
        <v/>
      </c>
      <c r="E16" s="7">
        <f>PnL_5year!E28</f>
        <v/>
      </c>
      <c r="F16" s="11">
        <f>PnL_5year!E29</f>
        <v/>
      </c>
    </row>
    <row r="17">
      <c r="A17" t="inlineStr">
        <is>
          <t>Y5</t>
        </is>
      </c>
      <c r="B17" s="7">
        <f>PnL_5year!F20</f>
        <v/>
      </c>
      <c r="C17" s="7">
        <f>PnL_5year!F22</f>
        <v/>
      </c>
      <c r="D17" s="7">
        <f>PnL_5year!F23</f>
        <v/>
      </c>
      <c r="E17" s="7">
        <f>PnL_5year!F28</f>
        <v/>
      </c>
      <c r="F17" s="11">
        <f>PnL_5year!F29</f>
        <v/>
      </c>
    </row>
    <row r="19">
      <c r="A19" s="3" t="inlineStr">
        <is>
          <t>STRUCTURE 3: 5-BV (adds a 5th holding BV for Box 2 optimization)</t>
        </is>
      </c>
    </row>
    <row r="20">
      <c r="A20" s="5" t="inlineStr">
        <is>
          <t>Year</t>
        </is>
      </c>
      <c r="B20" s="5" t="inlineStr">
        <is>
          <t>BV 3 EBT</t>
        </is>
      </c>
      <c r="C20" s="5" t="inlineStr">
        <is>
          <t>IRE 10%</t>
        </is>
      </c>
      <c r="D20" s="5" t="inlineStr">
        <is>
          <t>BV 3 NI</t>
        </is>
      </c>
      <c r="E20" s="5" t="inlineStr">
        <is>
          <t>NL Box 2 (Wes)</t>
        </is>
      </c>
      <c r="F20" s="5" t="inlineStr">
        <is>
          <t>Wes NET</t>
        </is>
      </c>
    </row>
    <row r="21">
      <c r="A21" t="inlineStr">
        <is>
          <t>Same as Structure 2, but with participation exemption benefit</t>
        </is>
      </c>
    </row>
    <row r="22">
      <c r="A22" t="inlineStr">
        <is>
          <t>Y1</t>
        </is>
      </c>
      <c r="B22" s="7">
        <f>B13</f>
        <v/>
      </c>
      <c r="C22" s="7">
        <f>C13</f>
        <v/>
      </c>
      <c r="D22" s="7">
        <f>D13</f>
        <v/>
      </c>
      <c r="E22" s="7">
        <f>E13*0.95</f>
        <v/>
      </c>
      <c r="F22" s="11">
        <f>D22*0.80*0.95</f>
        <v/>
      </c>
    </row>
    <row r="23">
      <c r="A23" t="inlineStr">
        <is>
          <t>Y2</t>
        </is>
      </c>
      <c r="B23" s="7">
        <f>B14</f>
        <v/>
      </c>
      <c r="C23" s="7">
        <f>C14</f>
        <v/>
      </c>
      <c r="D23" s="7">
        <f>D14</f>
        <v/>
      </c>
      <c r="E23" s="7">
        <f>E14*0.95</f>
        <v/>
      </c>
      <c r="F23" s="11">
        <f>D23*0.80*0.95</f>
        <v/>
      </c>
    </row>
    <row r="24">
      <c r="A24" t="inlineStr">
        <is>
          <t>Y3</t>
        </is>
      </c>
      <c r="B24" s="7">
        <f>B15</f>
        <v/>
      </c>
      <c r="C24" s="7">
        <f>C15</f>
        <v/>
      </c>
      <c r="D24" s="7">
        <f>D15</f>
        <v/>
      </c>
      <c r="E24" s="7">
        <f>E15*0.95</f>
        <v/>
      </c>
      <c r="F24" s="11">
        <f>D24*0.80*0.95</f>
        <v/>
      </c>
    </row>
    <row r="25">
      <c r="A25" t="inlineStr">
        <is>
          <t>Y4</t>
        </is>
      </c>
      <c r="B25" s="7">
        <f>B16</f>
        <v/>
      </c>
      <c r="C25" s="7">
        <f>C16</f>
        <v/>
      </c>
      <c r="D25" s="7">
        <f>D16</f>
        <v/>
      </c>
      <c r="E25" s="7">
        <f>E16*0.95</f>
        <v/>
      </c>
      <c r="F25" s="11">
        <f>D25*0.80*0.95</f>
        <v/>
      </c>
    </row>
    <row r="26">
      <c r="A26" t="inlineStr">
        <is>
          <t>Y5</t>
        </is>
      </c>
      <c r="B26" s="7">
        <f>B17</f>
        <v/>
      </c>
      <c r="C26" s="7">
        <f>C17</f>
        <v/>
      </c>
      <c r="D26" s="7">
        <f>D17</f>
        <v/>
      </c>
      <c r="E26" s="7">
        <f>E17*0.95</f>
        <v/>
      </c>
      <c r="F26" s="11">
        <f>D26*0.80*0.95</f>
        <v/>
      </c>
    </row>
    <row r="28">
      <c r="A28" s="9" t="inlineStr">
        <is>
          <t>5-YEAR CUMULATIVE WES NET (GOOD SCENARIO)</t>
        </is>
      </c>
      <c r="B28" s="9" t="inlineStr">
        <is>
          <t>IB only (Structure 1)</t>
        </is>
      </c>
      <c r="C28" s="9" t="inlineStr">
        <is>
          <t>4-BV (Structure 2)</t>
        </is>
      </c>
      <c r="D28" s="9" t="inlineStr">
        <is>
          <t>5-BV (Structure 3)</t>
        </is>
      </c>
    </row>
    <row r="29">
      <c r="A29" t="inlineStr">
        <is>
          <t>5-yr Wes NET</t>
        </is>
      </c>
      <c r="B29" s="11">
        <f>SUM(B9,C9,D9,E9,F9)</f>
        <v/>
      </c>
      <c r="C29" s="11">
        <f>SUM(F13:F17)</f>
        <v/>
      </c>
      <c r="D29" s="11">
        <f>SUM(F22:F26)</f>
        <v/>
      </c>
    </row>
    <row r="30">
      <c r="A30" t="inlineStr">
        <is>
          <t>5-yr EFFECTIVE TAX (vs no-tax scenario)</t>
        </is>
      </c>
      <c r="B30" s="7">
        <f>B6-SUM(B9,C9,D9,E9,F9)</f>
        <v/>
      </c>
      <c r="C30" s="7">
        <f>SUM(B6:F6)-SUM(F13:F17)</f>
        <v/>
      </c>
      <c r="D30" s="7">
        <f>SUM(B6:F6)-SUM(F22:F26)</f>
        <v/>
      </c>
    </row>
    <row r="31">
      <c r="A31" t="inlineStr">
        <is>
          <t>EFFECTIVE TAX RATE (5-yr cumulative)</t>
        </is>
      </c>
      <c r="B31" s="18">
        <f>B30/SUM(B6:F6)</f>
        <v/>
      </c>
      <c r="C31" s="18">
        <f>C30/SUM(B6:F6)</f>
        <v/>
      </c>
      <c r="D31" s="18">
        <f>D30/SUM(B6:F6)</f>
        <v/>
      </c>
    </row>
    <row r="33">
      <c r="A33" s="9" t="inlineStr">
        <is>
          <t>BREAK-EVEN: When does the 4-BV structure beat IB-only?</t>
        </is>
      </c>
    </row>
    <row r="34">
      <c r="A34" t="inlineStr">
        <is>
          <t>4-BV saves vs IB: BV has admin cost (~€4-5K/yr) but Box 2 = 24.5% vs IB Box 1 = 37-49.5%</t>
        </is>
      </c>
    </row>
    <row r="35">
      <c r="A35" t="inlineStr">
        <is>
          <t>Break-even: when net income &gt; ~€25K/yr (4-BV pays for itself on the 12.5% Box 2 saving)</t>
        </is>
      </c>
    </row>
    <row r="36">
      <c r="A36" s="2" t="inlineStr">
        <is>
          <t>Per LEGAL_RESEARCH_PACK §A.3: 4-BV is borderline advantageous in Phase 1; becomes clearly advantageous in Phase 2+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SENSITIVITY ANALYSIS — ADR × Occupancy matrix (Phase 1, 5 cabins)</t>
        </is>
      </c>
    </row>
    <row r="2">
      <c r="A2" s="2" t="inlineStr">
        <is>
          <t>Each cell = annual cabin revenue (5 cabins × 365 × ADR × occupancy)</t>
        </is>
      </c>
    </row>
    <row r="4">
      <c r="A4" s="3" t="inlineStr">
        <is>
          <t>ADR (EUR/night) ↓  /  Occupancy →</t>
        </is>
      </c>
      <c r="B4" s="19" t="n">
        <v>0.1</v>
      </c>
      <c r="C4" s="19" t="n">
        <v>0.15</v>
      </c>
      <c r="D4" s="19" t="n">
        <v>0.2</v>
      </c>
      <c r="E4" s="19" t="n">
        <v>0.25</v>
      </c>
      <c r="F4" s="19" t="n">
        <v>0.3</v>
      </c>
      <c r="G4" s="19" t="n">
        <v>0.35</v>
      </c>
      <c r="H4" s="19" t="n">
        <v>0.4</v>
      </c>
      <c r="I4" s="19" t="n">
        <v>0.45</v>
      </c>
      <c r="J4" s="19" t="n">
        <v>0.5</v>
      </c>
    </row>
    <row r="5">
      <c r="A5" s="12" t="n">
        <v>150</v>
      </c>
      <c r="B5" s="7" t="n">
        <v>27375</v>
      </c>
      <c r="C5" s="7" t="n">
        <v>41062.5</v>
      </c>
      <c r="D5" s="7" t="n">
        <v>54750</v>
      </c>
      <c r="E5" s="7" t="n">
        <v>68437.5</v>
      </c>
      <c r="F5" s="7" t="n">
        <v>82125</v>
      </c>
      <c r="G5" s="7" t="n">
        <v>95812.5</v>
      </c>
      <c r="H5" s="7" t="n">
        <v>109500</v>
      </c>
      <c r="I5" s="7" t="n">
        <v>123187.5</v>
      </c>
      <c r="J5" s="7" t="n">
        <v>136875</v>
      </c>
    </row>
    <row r="6">
      <c r="A6" s="12" t="n">
        <v>180</v>
      </c>
      <c r="B6" s="7" t="n">
        <v>32850</v>
      </c>
      <c r="C6" s="7" t="n">
        <v>49275</v>
      </c>
      <c r="D6" s="7" t="n">
        <v>65700</v>
      </c>
      <c r="E6" s="7" t="n">
        <v>82125</v>
      </c>
      <c r="F6" s="7" t="n">
        <v>98550</v>
      </c>
      <c r="G6" s="7" t="n">
        <v>114975</v>
      </c>
      <c r="H6" s="7" t="n">
        <v>131400</v>
      </c>
      <c r="I6" s="7" t="n">
        <v>147825</v>
      </c>
      <c r="J6" s="7" t="n">
        <v>164250</v>
      </c>
    </row>
    <row r="7">
      <c r="A7" s="12" t="n">
        <v>200</v>
      </c>
      <c r="B7" s="7" t="n">
        <v>36500</v>
      </c>
      <c r="C7" s="7" t="n">
        <v>54750</v>
      </c>
      <c r="D7" s="7" t="n">
        <v>73000</v>
      </c>
      <c r="E7" s="7" t="n">
        <v>91250</v>
      </c>
      <c r="F7" s="7" t="n">
        <v>109500</v>
      </c>
      <c r="G7" s="7" t="n">
        <v>127750</v>
      </c>
      <c r="H7" s="7" t="n">
        <v>146000</v>
      </c>
      <c r="I7" s="7" t="n">
        <v>164250</v>
      </c>
      <c r="J7" s="7" t="n">
        <v>182500</v>
      </c>
    </row>
    <row r="8">
      <c r="A8" s="12" t="n">
        <v>220</v>
      </c>
      <c r="B8" s="7" t="n">
        <v>40150</v>
      </c>
      <c r="C8" s="7" t="n">
        <v>60225</v>
      </c>
      <c r="D8" s="7" t="n">
        <v>80300</v>
      </c>
      <c r="E8" s="7" t="n">
        <v>100375</v>
      </c>
      <c r="F8" s="7" t="n">
        <v>120450</v>
      </c>
      <c r="G8" s="11" t="n">
        <v>140525</v>
      </c>
      <c r="H8" s="7" t="n">
        <v>160600</v>
      </c>
      <c r="I8" s="7" t="n">
        <v>180675</v>
      </c>
      <c r="J8" s="7" t="n">
        <v>200750</v>
      </c>
    </row>
    <row r="9">
      <c r="A9" s="12" t="n">
        <v>240</v>
      </c>
      <c r="B9" s="7" t="n">
        <v>43800</v>
      </c>
      <c r="C9" s="7" t="n">
        <v>65700</v>
      </c>
      <c r="D9" s="7" t="n">
        <v>87600</v>
      </c>
      <c r="E9" s="7" t="n">
        <v>109500</v>
      </c>
      <c r="F9" s="7" t="n">
        <v>131400</v>
      </c>
      <c r="G9" s="7" t="n">
        <v>153300</v>
      </c>
      <c r="H9" s="7" t="n">
        <v>175200</v>
      </c>
      <c r="I9" s="7" t="n">
        <v>197100</v>
      </c>
      <c r="J9" s="7" t="n">
        <v>219000</v>
      </c>
    </row>
    <row r="10">
      <c r="A10" s="12" t="n">
        <v>260</v>
      </c>
      <c r="B10" s="7" t="n">
        <v>47450</v>
      </c>
      <c r="C10" s="7" t="n">
        <v>71175</v>
      </c>
      <c r="D10" s="7" t="n">
        <v>94900</v>
      </c>
      <c r="E10" s="7" t="n">
        <v>118625</v>
      </c>
      <c r="F10" s="7" t="n">
        <v>142350</v>
      </c>
      <c r="G10" s="7" t="n">
        <v>166075</v>
      </c>
      <c r="H10" s="7" t="n">
        <v>189800</v>
      </c>
      <c r="I10" s="7" t="n">
        <v>213525</v>
      </c>
      <c r="J10" s="7" t="n">
        <v>237250</v>
      </c>
    </row>
    <row r="11">
      <c r="A11" s="12" t="n">
        <v>280</v>
      </c>
      <c r="B11" s="7" t="n">
        <v>51100</v>
      </c>
      <c r="C11" s="7" t="n">
        <v>76650</v>
      </c>
      <c r="D11" s="7" t="n">
        <v>102200</v>
      </c>
      <c r="E11" s="7" t="n">
        <v>127750</v>
      </c>
      <c r="F11" s="7" t="n">
        <v>153300</v>
      </c>
      <c r="G11" s="7" t="n">
        <v>178850</v>
      </c>
      <c r="H11" s="7" t="n">
        <v>204400</v>
      </c>
      <c r="I11" s="7" t="n">
        <v>229950</v>
      </c>
      <c r="J11" s="7" t="n">
        <v>255500</v>
      </c>
    </row>
    <row r="12">
      <c r="A12" s="12" t="n">
        <v>300</v>
      </c>
      <c r="B12" s="7" t="n">
        <v>54750</v>
      </c>
      <c r="C12" s="7" t="n">
        <v>82125</v>
      </c>
      <c r="D12" s="7" t="n">
        <v>109500</v>
      </c>
      <c r="E12" s="7" t="n">
        <v>136875</v>
      </c>
      <c r="F12" s="7" t="n">
        <v>164250</v>
      </c>
      <c r="G12" s="7" t="n">
        <v>191625</v>
      </c>
      <c r="H12" s="7" t="n">
        <v>219000</v>
      </c>
      <c r="I12" s="7" t="n">
        <v>246375</v>
      </c>
      <c r="J12" s="7" t="n">
        <v>273750</v>
      </c>
    </row>
    <row r="13">
      <c r="A13" s="12" t="n">
        <v>350</v>
      </c>
      <c r="B13" s="7" t="n">
        <v>63875</v>
      </c>
      <c r="C13" s="7" t="n">
        <v>95812.5</v>
      </c>
      <c r="D13" s="7" t="n">
        <v>127750</v>
      </c>
      <c r="E13" s="7" t="n">
        <v>159687.5</v>
      </c>
      <c r="F13" s="7" t="n">
        <v>191625</v>
      </c>
      <c r="G13" s="7" t="n">
        <v>223562.5</v>
      </c>
      <c r="H13" s="7" t="n">
        <v>255500</v>
      </c>
      <c r="I13" s="7" t="n">
        <v>287437.5</v>
      </c>
      <c r="J13" s="7" t="n">
        <v>319375</v>
      </c>
    </row>
    <row r="14">
      <c r="A14" s="12" t="n">
        <v>400</v>
      </c>
      <c r="B14" s="7" t="n">
        <v>73000</v>
      </c>
      <c r="C14" s="7" t="n">
        <v>109500</v>
      </c>
      <c r="D14" s="7" t="n">
        <v>146000</v>
      </c>
      <c r="E14" s="7" t="n">
        <v>182500</v>
      </c>
      <c r="F14" s="7" t="n">
        <v>219000</v>
      </c>
      <c r="G14" s="7" t="n">
        <v>255500</v>
      </c>
      <c r="H14" s="7" t="n">
        <v>292000</v>
      </c>
      <c r="I14" s="7" t="n">
        <v>328500</v>
      </c>
      <c r="J14" s="7" t="n">
        <v>365000</v>
      </c>
    </row>
    <row r="15">
      <c r="A15" s="12" t="n">
        <v>500</v>
      </c>
      <c r="B15" s="7" t="n">
        <v>91250</v>
      </c>
      <c r="C15" s="7" t="n">
        <v>136875</v>
      </c>
      <c r="D15" s="7" t="n">
        <v>182500</v>
      </c>
      <c r="E15" s="7" t="n">
        <v>228125</v>
      </c>
      <c r="F15" s="7" t="n">
        <v>273750</v>
      </c>
      <c r="G15" s="7" t="n">
        <v>319375</v>
      </c>
      <c r="H15" s="7" t="n">
        <v>365000</v>
      </c>
      <c r="I15" s="7" t="n">
        <v>410625</v>
      </c>
      <c r="J15" s="7" t="n">
        <v>456250</v>
      </c>
    </row>
    <row r="17">
      <c r="A17" s="9" t="inlineStr">
        <is>
          <t>OPERATING MARGIN (REVENUE - COST) / REVENUE at 5 cabins (35% occ baseline)</t>
        </is>
      </c>
      <c r="B17" t="inlineStr">
        <is>
          <t>F&amp;B COGS 38%, fixed ops ~€73K, staff ~€70K</t>
        </is>
      </c>
    </row>
    <row r="18">
      <c r="A18" s="2" t="inlineStr">
        <is>
          <t>Below 15% occupancy = cash burn even at €300 ADR</t>
        </is>
      </c>
    </row>
    <row r="19">
      <c r="A19" s="2" t="inlineStr">
        <is>
          <t>Above 25% occupancy at €200+ ADR = cash positive before debt service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70" customWidth="1" min="3" max="3"/>
  </cols>
  <sheetData>
    <row r="1">
      <c r="A1" s="13" t="inlineStr">
        <is>
          <t>SOURCES — every data point in this model traces to a research file</t>
        </is>
      </c>
    </row>
    <row r="3">
      <c r="A3" s="5" t="inlineStr">
        <is>
          <t>Source file</t>
        </is>
      </c>
      <c r="B3" s="5" t="inlineStr">
        <is>
          <t>Used in sheet(s)</t>
        </is>
      </c>
      <c r="C3" s="5" t="inlineStr">
        <is>
          <t>Specific data points</t>
        </is>
      </c>
    </row>
    <row r="4">
      <c r="A4" t="inlineStr">
        <is>
          <t>docs/_reconciled/business/FINANCIAL_MODEL.md</t>
        </is>
      </c>
      <c r="B4" t="inlineStr">
        <is>
          <t>All</t>
        </is>
      </c>
      <c r="C4" t="inlineStr">
        <is>
          <t>€5,503,736 Phase 1 baseline, 3 occupancy scenarios, 27-staff plan, €9000/yr avg salary</t>
        </is>
      </c>
    </row>
    <row r="5">
      <c r="A5" t="inlineStr">
        <is>
          <t>docs/research/RESULTS/LEGAL_RESEARCH_PACK_2026-07-06.md</t>
        </is>
      </c>
      <c r="B5" t="inlineStr">
        <is>
          <t>Assumptions + TaxProjection + P&amp;L</t>
        </is>
      </c>
      <c r="C5" t="inlineStr">
        <is>
          <t>PY IRE 10%, NL Box 2 24.5%, IVA 5%/10%, IPS 16.5%, aguinaldo 8.33%, NL-PY treaty WHT 10% with treaty, BV &gt; IB €70K threshold</t>
        </is>
      </c>
    </row>
    <row r="6">
      <c r="A6" t="inlineStr">
        <is>
          <t>docs/research/RESULTS/CAPEX_OPTIONS_2026-07-06.md</t>
        </is>
      </c>
      <c r="B6" t="inlineStr">
        <is>
          <t>Capex + Dashboard</t>
        </is>
      </c>
      <c r="C6" t="inlineStr">
        <is>
          <t>Phase 1 €1.55M recommended, cob cabin €54K, septic €28K, solar €52.8K, quebrada+well €17K, restaurant €68K, hidden capex €115K</t>
        </is>
      </c>
    </row>
    <row r="7">
      <c r="A7" t="inlineStr">
        <is>
          <t>docs/research/RESULTS/SUPPLY_CHAIN_RECOMMENDATIONS_2026-07-06.md</t>
        </is>
      </c>
      <c r="B7" t="inlineStr">
        <is>
          <t>Capex + OperatingCosts</t>
        </is>
      </c>
      <c r="C7" t="inlineStr">
        <is>
          <t>INC cement Gs. 480-580/kg, eucalyptus $45-60/m³, Gastro-Haus $28K, Sherwin-Williams $14/L, Sapucai sandstone Gs. 45K/m³, F&amp;B COGS 38%</t>
        </is>
      </c>
    </row>
    <row r="8">
      <c r="A8" t="inlineStr">
        <is>
          <t>docs/research/RESULTS/2026-06-30_construction_prices_paraguay_nl.md</t>
        </is>
      </c>
      <c r="B8" t="inlineStr">
        <is>
          <t>Capex</t>
        </is>
      </c>
      <c r="C8" t="inlineStr">
        <is>
          <t>PY construction price book (149 lines)</t>
        </is>
      </c>
    </row>
    <row r="9">
      <c r="A9" t="inlineStr">
        <is>
          <t>docs/research/RESULTS/M04_cement_rebar_pricing.md</t>
        </is>
      </c>
      <c r="B9" t="inlineStr">
        <is>
          <t>Capex + OperatingCosts</t>
        </is>
      </c>
      <c r="C9" t="inlineStr">
        <is>
          <t>Cement CVE-40 Gs. 480-580/kg, rebar $720/ton, R48 time series</t>
        </is>
      </c>
    </row>
    <row r="10">
      <c r="A10" t="inlineStr">
        <is>
          <t>docs/research/RESULTS/M08_septic_reed_bed.md</t>
        </is>
      </c>
      <c r="B10" t="inlineStr">
        <is>
          <t>Capex + OperatingCosts</t>
        </is>
      </c>
      <c r="C10" t="inlineStr">
        <is>
          <t>Septic + reed-bed $4,500-6,500/cabin, INAA permit</t>
        </is>
      </c>
    </row>
    <row r="11">
      <c r="A11" t="inlineStr">
        <is>
          <t>docs/research/RESULTS/M_WOOD_01_structureel_hout.md</t>
        </is>
      </c>
      <c r="B11" t="inlineStr">
        <is>
          <t>Capex</t>
        </is>
      </c>
      <c r="C11" t="inlineStr">
        <is>
          <t>Eucalyptus Itapúa $45-60/m³, 4-species matrix</t>
        </is>
      </c>
    </row>
    <row r="12">
      <c r="A12" t="inlineStr">
        <is>
          <t>docs/research/RESULTS/M_COB_01_cob_earthen_materialen.md</t>
        </is>
      </c>
      <c r="B12" t="inlineStr">
        <is>
          <t>Capex</t>
        </is>
      </c>
      <c r="C12" t="inlineStr">
        <is>
          <t>Cob cabin €18,200, 4 PY cob builders named</t>
        </is>
      </c>
    </row>
    <row r="13">
      <c r="A13" t="inlineStr">
        <is>
          <t>docs/research/RESULTS/M22_kitchen_equipment_import.md</t>
        </is>
      </c>
      <c r="B13" t="inlineStr">
        <is>
          <t>Capex + OperatingCosts</t>
        </is>
      </c>
      <c r="C13" t="inlineStr">
        <is>
          <t>Gastro-Haus + Brasitermo, PY-dom vs BR-import</t>
        </is>
      </c>
    </row>
    <row r="14">
      <c r="A14" t="inlineStr">
        <is>
          <t>docs/research/RESULTS/F09_solar_pv.md</t>
        </is>
      </c>
      <c r="B14" t="inlineStr">
        <is>
          <t>Capex + OperatingCosts</t>
        </is>
      </c>
      <c r="C14" t="inlineStr">
        <is>
          <t>Solar 8kW/cabin, $4,500/cabin PV</t>
        </is>
      </c>
    </row>
    <row r="15">
      <c r="A15" t="inlineStr">
        <is>
          <t>docs/research/RESULTS/F10_lifepo4_battery.md</t>
        </is>
      </c>
      <c r="B15" t="inlineStr">
        <is>
          <t>Capex</t>
        </is>
      </c>
      <c r="C15" t="inlineStr">
        <is>
          <t>LiFePO4 $3,800/cabin, 30 kWh</t>
        </is>
      </c>
    </row>
    <row r="16">
      <c r="A16" t="inlineStr">
        <is>
          <t>docs/research/RESULTS/F14_inaa_water_permit.md</t>
        </is>
      </c>
      <c r="B16" t="inlineStr">
        <is>
          <t>Capex</t>
        </is>
      </c>
      <c r="C16" t="inlineStr">
        <is>
          <t>INAA permit 4-6 wk, $1,800</t>
        </is>
      </c>
    </row>
    <row r="17">
      <c r="A17" t="inlineStr">
        <is>
          <t>docs/research/RESULTS/F15_cistern_sizing.md</t>
        </is>
      </c>
      <c r="B17" t="inlineStr">
        <is>
          <t>Capex</t>
        </is>
      </c>
      <c r="C17" t="inlineStr">
        <is>
          <t>Cistern sizing</t>
        </is>
      </c>
    </row>
    <row r="18">
      <c r="A18" t="inlineStr">
        <is>
          <t>docs/research/RESULTS/L22_insurance_minimums.md</t>
        </is>
      </c>
      <c r="B18" t="inlineStr">
        <is>
          <t>Capex + OperatingCosts</t>
        </is>
      </c>
      <c r="C18" t="inlineStr">
        <is>
          <t>Forest fire insurance $22-37K/yr at WTW</t>
        </is>
      </c>
    </row>
    <row r="19">
      <c r="A19" t="inlineStr">
        <is>
          <t>docs/research/RESULTS/PR12_py_labor_law.md</t>
        </is>
      </c>
      <c r="B19" t="inlineStr">
        <is>
          <t>Staff + OperatingCosts</t>
        </is>
      </c>
      <c r="C19" t="inlineStr">
        <is>
          <t>PY IPS 16.5% + aguinaldo + vacaciones</t>
        </is>
      </c>
    </row>
    <row r="20">
      <c r="A20" t="inlineStr">
        <is>
          <t>docs/research/RESULTS/SX03_insurance_market.md</t>
        </is>
      </c>
      <c r="B20" t="inlineStr">
        <is>
          <t>Capex + OperatingCosts</t>
        </is>
      </c>
      <c r="C20" t="inlineStr">
        <is>
          <t>PY insurance market, WTW recommendation</t>
        </is>
      </c>
    </row>
    <row r="21">
      <c r="A21" t="inlineStr">
        <is>
          <t>docs/research/RESULTS/L05_NL_BV_threshold_70k.md</t>
        </is>
      </c>
      <c r="B21" t="inlineStr">
        <is>
          <t>Assumptions + TaxProjection</t>
        </is>
      </c>
      <c r="C21" t="inlineStr">
        <is>
          <t>BV &gt; IB €70K threshold, Box 2 24.5%</t>
        </is>
      </c>
    </row>
    <row r="22">
      <c r="A22" t="inlineStr">
        <is>
          <t>docs/research/RESULTS/L19_tax_treaty.md</t>
        </is>
      </c>
      <c r="B22" t="inlineStr">
        <is>
          <t>TaxProjection</t>
        </is>
      </c>
      <c r="C22" t="inlineStr">
        <is>
          <t>NL-PY treaty WHT rates</t>
        </is>
      </c>
    </row>
    <row r="23">
      <c r="A23" t="inlineStr">
        <is>
          <t>docs/research/RESULTS/ARCHAEOLOGICAL_CULTURAL_RESEARCH_2026-07-06.md</t>
        </is>
      </c>
      <c r="B23" t="inlineStr">
        <is>
          <t>Capex (cultural heritage section)</t>
        </is>
      </c>
      <c r="C23" t="inlineStr">
        <is>
          <t>Cultural context, Mbyá consultation cost $300-500</t>
        </is>
      </c>
    </row>
    <row r="26">
      <c r="A26" s="9" t="inlineStr">
        <is>
          <t>CURRENCY CONVERSION (all EUR-base)</t>
        </is>
      </c>
    </row>
    <row r="27">
      <c r="A27" t="inlineStr">
        <is>
          <t>FX rates as of 2026-07-06:</t>
        </is>
      </c>
    </row>
    <row r="28">
      <c r="A28" t="inlineStr">
        <is>
          <t xml:space="preserve">  1 EUR = 1.07 USD = 8,025 PYG (BCP referencial)</t>
        </is>
      </c>
    </row>
    <row r="29">
      <c r="A29" t="inlineStr">
        <is>
          <t xml:space="preserve">  1 USD = 7,500 PYG</t>
        </is>
      </c>
    </row>
    <row r="30">
      <c r="A30" t="inlineStr">
        <is>
          <t xml:space="preserve">  Gs. 1,000,000 = $133 = €124</t>
        </is>
      </c>
    </row>
    <row r="31">
      <c r="A31" t="inlineStr">
        <is>
          <t>Inflation: EUR 2%/yr, USD 2.5%/yr, PYG 4%/yr (PY historical)</t>
        </is>
      </c>
    </row>
    <row r="33">
      <c r="A33" s="9" t="inlineStr">
        <is>
          <t>OPEN ITEMS / WHAT BLOCKS FINAL NUMBERS</t>
        </is>
      </c>
    </row>
    <row r="34">
      <c r="A34" t="inlineStr">
        <is>
          <t>1. R35 drone LiDAR (€1,500) — foundation decisions need this</t>
        </is>
      </c>
    </row>
    <row r="35">
      <c r="A35" t="inlineStr">
        <is>
          <t>2. R01 site visit (HG-4) — quebrada water yield + R35 coverage</t>
        </is>
      </c>
    </row>
    <row r="36">
      <c r="A36" t="inlineStr">
        <is>
          <t>3. R07 cob builder actual quotes — 3 builders × 1 afternoon of phone calls</t>
        </is>
      </c>
    </row>
    <row r="37">
      <c r="A37" t="inlineStr">
        <is>
          <t>4. HG-1 attorney call — confirms 4-BV vs IB tax structure</t>
        </is>
      </c>
    </row>
    <row r="38">
      <c r="A38" t="inlineStr">
        <is>
          <t>5. HG-3 insurance broker quote (WTW) — locks in $22-37K/yr estimate</t>
        </is>
      </c>
    </row>
    <row r="39">
      <c r="A39" t="inlineStr">
        <is>
          <t>6. SG-W7 capex target from Wes — anchors the €5.5M baseline</t>
        </is>
      </c>
    </row>
    <row r="40">
      <c r="A40" t="inlineStr">
        <is>
          <t>7. SG-W8 year-1 revenue target from Wes — anchors the 25% occupancy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2026-07-06T20:38:14Z</dcterms:created>
  <dcterms:modified xmlns:dcterms="http://purl.org/dc/terms/" xmlns:xsi="http://www.w3.org/2001/XMLSchema-instance" xsi:type="dcterms:W3CDTF">2026-07-06T20:38:14Z</dcterms:modified>
</cp:coreProperties>
</file>